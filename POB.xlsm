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320AAD7A-AEEB-3B57-35EE-6C7AAB037B02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alves/Documents/Ocyan/StationBill/"/>
    </mc:Choice>
  </mc:AlternateContent>
  <xr:revisionPtr revIDLastSave="0" documentId="13_ncr:1_{9F491171-8DCA-9E44-9A79-1CBA2A1E1661}" xr6:coauthVersionLast="47" xr6:coauthVersionMax="47" xr10:uidLastSave="{00000000-0000-0000-0000-000000000000}"/>
  <bookViews>
    <workbookView xWindow="0" yWindow="500" windowWidth="28800" windowHeight="12220" tabRatio="777" xr2:uid="{00000000-000D-0000-FFFF-FFFF00000000}"/>
  </bookViews>
  <sheets>
    <sheet name="POB N08" sheetId="1" r:id="rId1"/>
    <sheet name="DESEMBARQUE EFETIVADO" sheetId="6" r:id="rId2"/>
    <sheet name="EMBARQUE EFETIVADO" sheetId="7" r:id="rId3"/>
    <sheet name="Planejamento" sheetId="2" state="hidden" r:id="rId4"/>
  </sheets>
  <definedNames>
    <definedName name="_xlnm._FilterDatabase" localSheetId="0" hidden="1">'POB N08'!$I$3:$M$3</definedName>
    <definedName name="_xlnm.Print_Area" localSheetId="0">POB[]</definedName>
    <definedName name="_xlnm.Print_Titles" localSheetId="0">'POB N08'!$2:$4</definedName>
    <definedName name="TOTAL.LIFEBOATS">'POB N08'!$H$204:$H$212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20" i="1" l="1"/>
  <c r="G88" i="1" l="1"/>
  <c r="G12" i="1" l="1"/>
  <c r="G80" i="1"/>
  <c r="G25" i="1" l="1"/>
  <c r="G64" i="1" l="1"/>
  <c r="M237" i="1" l="1"/>
  <c r="K237" i="1"/>
  <c r="M236" i="1"/>
  <c r="K236" i="1"/>
  <c r="M235" i="1"/>
  <c r="K235" i="1"/>
  <c r="M234" i="1"/>
  <c r="K234" i="1"/>
  <c r="M233" i="1"/>
  <c r="K233" i="1"/>
  <c r="M232" i="1"/>
  <c r="K232" i="1"/>
  <c r="M231" i="1"/>
  <c r="K231" i="1"/>
  <c r="M230" i="1"/>
  <c r="K230" i="1"/>
  <c r="M229" i="1"/>
  <c r="K229" i="1"/>
  <c r="M228" i="1"/>
  <c r="K228" i="1"/>
  <c r="M227" i="1"/>
  <c r="K227" i="1"/>
  <c r="M226" i="1"/>
  <c r="K226" i="1"/>
  <c r="M225" i="1"/>
  <c r="K225" i="1"/>
  <c r="M224" i="1"/>
  <c r="K224" i="1"/>
  <c r="M223" i="1"/>
  <c r="K223" i="1"/>
  <c r="M222" i="1"/>
  <c r="K222" i="1"/>
  <c r="M221" i="1"/>
  <c r="K221" i="1"/>
  <c r="D221" i="1"/>
  <c r="M220" i="1"/>
  <c r="K220" i="1"/>
  <c r="D220" i="1"/>
  <c r="M219" i="1"/>
  <c r="K219" i="1"/>
  <c r="D219" i="1"/>
  <c r="M218" i="1"/>
  <c r="K218" i="1"/>
  <c r="D218" i="1"/>
  <c r="M217" i="1"/>
  <c r="K217" i="1"/>
  <c r="D217" i="1"/>
  <c r="M216" i="1"/>
  <c r="K216" i="1"/>
  <c r="D216" i="1"/>
  <c r="M215" i="1"/>
  <c r="K215" i="1"/>
  <c r="D215" i="1"/>
  <c r="M214" i="1"/>
  <c r="K214" i="1"/>
  <c r="D214" i="1"/>
  <c r="M213" i="1"/>
  <c r="K213" i="1"/>
  <c r="D213" i="1"/>
  <c r="M212" i="1"/>
  <c r="K212" i="1"/>
  <c r="D212" i="1"/>
  <c r="M211" i="1"/>
  <c r="K211" i="1"/>
  <c r="D211" i="1"/>
  <c r="M210" i="1"/>
  <c r="K210" i="1"/>
  <c r="D210" i="1"/>
  <c r="M209" i="1"/>
  <c r="K209" i="1"/>
  <c r="D209" i="1"/>
  <c r="M208" i="1"/>
  <c r="K208" i="1"/>
  <c r="D208" i="1"/>
  <c r="M207" i="1"/>
  <c r="K207" i="1"/>
  <c r="D207" i="1"/>
  <c r="M206" i="1"/>
  <c r="K206" i="1"/>
  <c r="D206" i="1"/>
  <c r="M205" i="1"/>
  <c r="K205" i="1"/>
  <c r="D205" i="1"/>
  <c r="M202" i="1"/>
  <c r="G202" i="1"/>
  <c r="M201" i="1"/>
  <c r="G201" i="1"/>
  <c r="M200" i="1"/>
  <c r="G200" i="1"/>
  <c r="M199" i="1"/>
  <c r="G199" i="1"/>
  <c r="M198" i="1"/>
  <c r="G198" i="1"/>
  <c r="M197" i="1"/>
  <c r="G197" i="1"/>
  <c r="M196" i="1"/>
  <c r="G196" i="1"/>
  <c r="M195" i="1"/>
  <c r="G195" i="1"/>
  <c r="M194" i="1"/>
  <c r="G194" i="1"/>
  <c r="M193" i="1"/>
  <c r="G193" i="1"/>
  <c r="M192" i="1"/>
  <c r="G192" i="1"/>
  <c r="M191" i="1"/>
  <c r="G191" i="1"/>
  <c r="M190" i="1"/>
  <c r="G190" i="1"/>
  <c r="M189" i="1"/>
  <c r="G189" i="1"/>
  <c r="M188" i="1"/>
  <c r="G188" i="1"/>
  <c r="M187" i="1"/>
  <c r="G187" i="1"/>
  <c r="M186" i="1"/>
  <c r="G186" i="1"/>
  <c r="M185" i="1"/>
  <c r="G185" i="1"/>
  <c r="M169" i="1"/>
  <c r="G169" i="1"/>
  <c r="M75" i="1"/>
  <c r="G75" i="1"/>
  <c r="M183" i="1"/>
  <c r="G183" i="1"/>
  <c r="M182" i="1"/>
  <c r="G182" i="1"/>
  <c r="M47" i="1"/>
  <c r="G47" i="1"/>
  <c r="M181" i="1"/>
  <c r="G181" i="1"/>
  <c r="M26" i="1"/>
  <c r="G26" i="1"/>
  <c r="M126" i="1"/>
  <c r="G126" i="1"/>
  <c r="M71" i="1"/>
  <c r="G71" i="1"/>
  <c r="M37" i="1"/>
  <c r="G37" i="1"/>
  <c r="M74" i="1"/>
  <c r="G74" i="1"/>
  <c r="M178" i="1"/>
  <c r="G178" i="1"/>
  <c r="M139" i="1"/>
  <c r="G139" i="1"/>
  <c r="M125" i="1"/>
  <c r="G125" i="1"/>
  <c r="M16" i="1"/>
  <c r="G16" i="1"/>
  <c r="M43" i="1"/>
  <c r="G43" i="1"/>
  <c r="M122" i="1"/>
  <c r="G122" i="1"/>
  <c r="M170" i="1"/>
  <c r="G170" i="1"/>
  <c r="M173" i="1"/>
  <c r="G173" i="1"/>
  <c r="M55" i="1"/>
  <c r="G55" i="1"/>
  <c r="M163" i="1"/>
  <c r="G163" i="1"/>
  <c r="M96" i="1"/>
  <c r="G96" i="1"/>
  <c r="M56" i="1"/>
  <c r="G56" i="1"/>
  <c r="M83" i="1"/>
  <c r="G83" i="1"/>
  <c r="M162" i="1"/>
  <c r="G162" i="1"/>
  <c r="M81" i="1"/>
  <c r="G81" i="1"/>
  <c r="M161" i="1"/>
  <c r="G161" i="1"/>
  <c r="M142" i="1"/>
  <c r="G142" i="1"/>
  <c r="M156" i="1"/>
  <c r="G156" i="1"/>
  <c r="M147" i="1"/>
  <c r="G147" i="1"/>
  <c r="M24" i="1"/>
  <c r="G24" i="1"/>
  <c r="M59" i="1"/>
  <c r="G59" i="1"/>
  <c r="M144" i="1"/>
  <c r="G144" i="1"/>
  <c r="M158" i="1"/>
  <c r="G158" i="1"/>
  <c r="M7" i="1"/>
  <c r="G7" i="1"/>
  <c r="M48" i="1"/>
  <c r="G48" i="1"/>
  <c r="M12" i="1"/>
  <c r="M100" i="1"/>
  <c r="G100" i="1"/>
  <c r="M164" i="1"/>
  <c r="G164" i="1"/>
  <c r="M117" i="1"/>
  <c r="G117" i="1"/>
  <c r="M36" i="1"/>
  <c r="G36" i="1"/>
  <c r="M17" i="1"/>
  <c r="G17" i="1"/>
  <c r="M73" i="1"/>
  <c r="G73" i="1"/>
  <c r="M9" i="1"/>
  <c r="G9" i="1"/>
  <c r="M53" i="1"/>
  <c r="G53" i="1"/>
  <c r="M138" i="1"/>
  <c r="G138" i="1"/>
  <c r="M66" i="1"/>
  <c r="G66" i="1"/>
  <c r="M106" i="1"/>
  <c r="G106" i="1"/>
  <c r="M172" i="1"/>
  <c r="G172" i="1"/>
  <c r="M89" i="1"/>
  <c r="G89" i="1"/>
  <c r="M176" i="1"/>
  <c r="G176" i="1"/>
  <c r="M50" i="1"/>
  <c r="G50" i="1"/>
  <c r="M145" i="1"/>
  <c r="G145" i="1"/>
  <c r="M62" i="1"/>
  <c r="G62" i="1"/>
  <c r="M35" i="1"/>
  <c r="G35" i="1"/>
  <c r="M148" i="1"/>
  <c r="G148" i="1"/>
  <c r="M114" i="1"/>
  <c r="G114" i="1"/>
  <c r="M135" i="1"/>
  <c r="G135" i="1"/>
  <c r="M95" i="1"/>
  <c r="G95" i="1"/>
  <c r="M44" i="1"/>
  <c r="G44" i="1"/>
  <c r="M171" i="1"/>
  <c r="G171" i="1"/>
  <c r="M124" i="1"/>
  <c r="G124" i="1"/>
  <c r="M140" i="1"/>
  <c r="G140" i="1"/>
  <c r="M25" i="1"/>
  <c r="M5" i="1"/>
  <c r="G5" i="1"/>
  <c r="M118" i="1"/>
  <c r="G118" i="1"/>
  <c r="M34" i="1"/>
  <c r="G34" i="1"/>
  <c r="M107" i="1"/>
  <c r="G107" i="1"/>
  <c r="M105" i="1"/>
  <c r="G105" i="1"/>
  <c r="M130" i="1"/>
  <c r="G130" i="1"/>
  <c r="M10" i="1"/>
  <c r="G10" i="1"/>
  <c r="M155" i="1"/>
  <c r="G155" i="1"/>
  <c r="M103" i="1"/>
  <c r="G103" i="1"/>
  <c r="M146" i="1"/>
  <c r="G146" i="1"/>
  <c r="M61" i="1"/>
  <c r="G61" i="1"/>
  <c r="M11" i="1"/>
  <c r="G11" i="1"/>
  <c r="M49" i="1"/>
  <c r="G49" i="1"/>
  <c r="M123" i="1"/>
  <c r="G123" i="1"/>
  <c r="M29" i="1"/>
  <c r="G29" i="1"/>
  <c r="M149" i="1"/>
  <c r="G149" i="1"/>
  <c r="M45" i="1"/>
  <c r="G45" i="1"/>
  <c r="M115" i="1"/>
  <c r="G115" i="1"/>
  <c r="M153" i="1"/>
  <c r="G153" i="1"/>
  <c r="M14" i="1"/>
  <c r="G14" i="1"/>
  <c r="M128" i="1"/>
  <c r="G128" i="1"/>
  <c r="M133" i="1"/>
  <c r="G133" i="1"/>
  <c r="M113" i="1"/>
  <c r="G113" i="1"/>
  <c r="M120" i="1"/>
  <c r="M58" i="1"/>
  <c r="G58" i="1"/>
  <c r="M52" i="1"/>
  <c r="G52" i="1"/>
  <c r="M78" i="1"/>
  <c r="G78" i="1"/>
  <c r="M79" i="1"/>
  <c r="G79" i="1"/>
  <c r="M150" i="1"/>
  <c r="G150" i="1"/>
  <c r="M65" i="1"/>
  <c r="G65" i="1"/>
  <c r="M31" i="1"/>
  <c r="G31" i="1"/>
  <c r="M6" i="1"/>
  <c r="G6" i="1"/>
  <c r="M80" i="1"/>
  <c r="M119" i="1"/>
  <c r="G119" i="1"/>
  <c r="M84" i="1"/>
  <c r="G84" i="1"/>
  <c r="M30" i="1"/>
  <c r="G30" i="1"/>
  <c r="M111" i="1"/>
  <c r="G111" i="1"/>
  <c r="M143" i="1"/>
  <c r="G143" i="1"/>
  <c r="M68" i="1"/>
  <c r="G68" i="1"/>
  <c r="M104" i="1"/>
  <c r="G104" i="1"/>
  <c r="M41" i="1"/>
  <c r="G41" i="1"/>
  <c r="M129" i="1"/>
  <c r="G129" i="1"/>
  <c r="M102" i="1"/>
  <c r="G102" i="1"/>
  <c r="M27" i="1"/>
  <c r="G27" i="1"/>
  <c r="M21" i="1"/>
  <c r="G21" i="1"/>
  <c r="M77" i="1"/>
  <c r="G77" i="1"/>
  <c r="M70" i="1"/>
  <c r="G70" i="1"/>
  <c r="M97" i="1"/>
  <c r="G97" i="1"/>
  <c r="M69" i="1"/>
  <c r="G69" i="1"/>
  <c r="M40" i="1"/>
  <c r="G40" i="1"/>
  <c r="P70" i="1"/>
  <c r="M108" i="1"/>
  <c r="G108" i="1"/>
  <c r="P69" i="1"/>
  <c r="M137" i="1"/>
  <c r="G137" i="1"/>
  <c r="P68" i="1"/>
  <c r="M174" i="1"/>
  <c r="G174" i="1"/>
  <c r="P67" i="1"/>
  <c r="M88" i="1"/>
  <c r="P66" i="1"/>
  <c r="M91" i="1"/>
  <c r="G91" i="1"/>
  <c r="P65" i="1"/>
  <c r="M76" i="1"/>
  <c r="G76" i="1"/>
  <c r="P64" i="1"/>
  <c r="M98" i="1"/>
  <c r="G98" i="1"/>
  <c r="P63" i="1"/>
  <c r="M180" i="1"/>
  <c r="G180" i="1"/>
  <c r="P62" i="1"/>
  <c r="M90" i="1"/>
  <c r="G90" i="1"/>
  <c r="P61" i="1"/>
  <c r="M60" i="1"/>
  <c r="G60" i="1"/>
  <c r="P60" i="1"/>
  <c r="M64" i="1"/>
  <c r="P59" i="1"/>
  <c r="M20" i="1"/>
  <c r="G20" i="1"/>
  <c r="P58" i="1"/>
  <c r="M134" i="1"/>
  <c r="G134" i="1"/>
  <c r="P57" i="1"/>
  <c r="M101" i="1"/>
  <c r="G101" i="1"/>
  <c r="M57" i="1"/>
  <c r="G57" i="1"/>
  <c r="M132" i="1"/>
  <c r="G132" i="1"/>
  <c r="M157" i="1"/>
  <c r="G157" i="1"/>
  <c r="P53" i="1"/>
  <c r="M19" i="1"/>
  <c r="G19" i="1"/>
  <c r="P52" i="1"/>
  <c r="M154" i="1"/>
  <c r="G154" i="1"/>
  <c r="P51" i="1"/>
  <c r="M110" i="1"/>
  <c r="G110" i="1"/>
  <c r="P50" i="1"/>
  <c r="M54" i="1"/>
  <c r="G54" i="1"/>
  <c r="P49" i="1"/>
  <c r="M167" i="1"/>
  <c r="G167" i="1"/>
  <c r="P48" i="1"/>
  <c r="M99" i="1"/>
  <c r="G99" i="1"/>
  <c r="P47" i="1"/>
  <c r="M51" i="1"/>
  <c r="G51" i="1"/>
  <c r="P46" i="1"/>
  <c r="M67" i="1"/>
  <c r="G67" i="1"/>
  <c r="P45" i="1"/>
  <c r="M23" i="1"/>
  <c r="G23" i="1"/>
  <c r="P44" i="1"/>
  <c r="M42" i="1"/>
  <c r="G42" i="1"/>
  <c r="P43" i="1"/>
  <c r="M85" i="1"/>
  <c r="G85" i="1"/>
  <c r="P42" i="1"/>
  <c r="M18" i="1"/>
  <c r="G18" i="1"/>
  <c r="P41" i="1"/>
  <c r="M166" i="1"/>
  <c r="G166" i="1"/>
  <c r="P40" i="1"/>
  <c r="M92" i="1"/>
  <c r="G92" i="1"/>
  <c r="P39" i="1"/>
  <c r="M13" i="1"/>
  <c r="G13" i="1"/>
  <c r="P38" i="1"/>
  <c r="M38" i="1"/>
  <c r="G38" i="1"/>
  <c r="P37" i="1"/>
  <c r="M121" i="1"/>
  <c r="G121" i="1"/>
  <c r="P36" i="1"/>
  <c r="M94" i="1"/>
  <c r="G94" i="1"/>
  <c r="P35" i="1"/>
  <c r="M165" i="1"/>
  <c r="G165" i="1"/>
  <c r="P34" i="1"/>
  <c r="M32" i="1"/>
  <c r="G32" i="1"/>
  <c r="P33" i="1"/>
  <c r="M39" i="1"/>
  <c r="G39" i="1"/>
  <c r="P32" i="1"/>
  <c r="M72" i="1"/>
  <c r="G72" i="1"/>
  <c r="P31" i="1"/>
  <c r="M8" i="1"/>
  <c r="G8" i="1"/>
  <c r="P30" i="1"/>
  <c r="M127" i="1"/>
  <c r="G127" i="1"/>
  <c r="P29" i="1"/>
  <c r="M109" i="1"/>
  <c r="G109" i="1"/>
  <c r="P28" i="1"/>
  <c r="M87" i="1"/>
  <c r="G87" i="1"/>
  <c r="P27" i="1"/>
  <c r="M184" i="1"/>
  <c r="G184" i="1"/>
  <c r="P26" i="1"/>
  <c r="M93" i="1"/>
  <c r="G93" i="1"/>
  <c r="P25" i="1"/>
  <c r="M159" i="1"/>
  <c r="G159" i="1"/>
  <c r="P24" i="1"/>
  <c r="M151" i="1"/>
  <c r="G151" i="1"/>
  <c r="P23" i="1"/>
  <c r="M28" i="1"/>
  <c r="G28" i="1"/>
  <c r="P22" i="1"/>
  <c r="M179" i="1"/>
  <c r="G179" i="1"/>
  <c r="P21" i="1"/>
  <c r="M168" i="1"/>
  <c r="G168" i="1"/>
  <c r="P20" i="1"/>
  <c r="M116" i="1"/>
  <c r="G116" i="1"/>
  <c r="P19" i="1"/>
  <c r="M152" i="1"/>
  <c r="G152" i="1"/>
  <c r="P18" i="1"/>
  <c r="M63" i="1"/>
  <c r="G63" i="1"/>
  <c r="P17" i="1"/>
  <c r="M160" i="1"/>
  <c r="G160" i="1"/>
  <c r="P16" i="1"/>
  <c r="M82" i="1"/>
  <c r="G82" i="1"/>
  <c r="P15" i="1"/>
  <c r="M175" i="1"/>
  <c r="G175" i="1"/>
  <c r="P14" i="1"/>
  <c r="M22" i="1"/>
  <c r="G22" i="1"/>
  <c r="P13" i="1"/>
  <c r="M15" i="1"/>
  <c r="G15" i="1"/>
  <c r="P12" i="1"/>
  <c r="M112" i="1"/>
  <c r="G112" i="1"/>
  <c r="P11" i="1"/>
  <c r="M136" i="1"/>
  <c r="G136" i="1"/>
  <c r="P10" i="1"/>
  <c r="M86" i="1"/>
  <c r="G86" i="1"/>
  <c r="P9" i="1"/>
  <c r="M46" i="1"/>
  <c r="G46" i="1"/>
  <c r="P8" i="1"/>
  <c r="M131" i="1"/>
  <c r="G131" i="1"/>
  <c r="P7" i="1"/>
  <c r="M33" i="1"/>
  <c r="G33" i="1"/>
  <c r="P6" i="1"/>
  <c r="M141" i="1"/>
  <c r="G141" i="1"/>
  <c r="P5" i="1"/>
  <c r="M177" i="1"/>
  <c r="G177" i="1"/>
  <c r="G222" i="1" l="1"/>
  <c r="E222" i="1"/>
  <c r="G229" i="1"/>
  <c r="K238" i="1"/>
  <c r="D226" i="1"/>
  <c r="M238" i="1"/>
  <c r="H210" i="1"/>
  <c r="H204" i="1"/>
  <c r="H207" i="1"/>
  <c r="H214" i="1" l="1"/>
  <c r="M3" i="1"/>
  <c r="N3" i="1" l="1"/>
</calcChain>
</file>

<file path=xl/sharedStrings.xml><?xml version="1.0" encoding="utf-8"?>
<sst xmlns="http://schemas.openxmlformats.org/spreadsheetml/2006/main" count="3313" uniqueCount="1378">
  <si>
    <t xml:space="preserve">Hospital A </t>
  </si>
  <si>
    <t>Hospital B</t>
  </si>
  <si>
    <t>Hospital C</t>
  </si>
  <si>
    <t>Hospital D</t>
  </si>
  <si>
    <t>Hospital E</t>
  </si>
  <si>
    <t>OOG</t>
  </si>
  <si>
    <t>HOSPITAL</t>
  </si>
  <si>
    <t>TOTAL</t>
  </si>
  <si>
    <t>MARFOOD</t>
  </si>
  <si>
    <t>ROUSTABOUT</t>
  </si>
  <si>
    <t>FLOORHAND</t>
  </si>
  <si>
    <t>MCB</t>
  </si>
  <si>
    <t>RSTC</t>
  </si>
  <si>
    <t>RSTT / OST</t>
  </si>
  <si>
    <t>DPO</t>
  </si>
  <si>
    <t>DAY AB SEAMAN</t>
  </si>
  <si>
    <t>MOTORMAN</t>
  </si>
  <si>
    <t>CATERING</t>
  </si>
  <si>
    <t>NURSE</t>
  </si>
  <si>
    <t>WELDER</t>
  </si>
  <si>
    <t>MECHANIC</t>
  </si>
  <si>
    <t>CLIENT 3rd PARTY</t>
  </si>
  <si>
    <t>DECKPUSHER</t>
  </si>
  <si>
    <t>ASSIST. CRANE OPERATOR</t>
  </si>
  <si>
    <t>CRANE OPERATOR</t>
  </si>
  <si>
    <t>1st ENGINEER</t>
  </si>
  <si>
    <t>PUMPMAN</t>
  </si>
  <si>
    <t>DERRICKMAN</t>
  </si>
  <si>
    <t>ASSIST. DRILLER</t>
  </si>
  <si>
    <t>DRILLER</t>
  </si>
  <si>
    <t>2nd ENGINEER</t>
  </si>
  <si>
    <t>3rd ENGINEER</t>
  </si>
  <si>
    <t>CHIEF ET</t>
  </si>
  <si>
    <t>ELECTRICIAN</t>
  </si>
  <si>
    <t>ET</t>
  </si>
  <si>
    <t>SUBSEA SUPERVISOR</t>
  </si>
  <si>
    <t>CHIEF ELECTRICIAN</t>
  </si>
  <si>
    <t>RADIO OPERATOR</t>
  </si>
  <si>
    <t>MATERIALS COORDINATOR</t>
  </si>
  <si>
    <t>TOOLPUSHER</t>
  </si>
  <si>
    <t>CHIEF MECHANIC</t>
  </si>
  <si>
    <t>MAINT. COORDINATOR</t>
  </si>
  <si>
    <t>CHIEF ENGINEER</t>
  </si>
  <si>
    <t>CHIEF MATE</t>
  </si>
  <si>
    <t>RIG SUPERINTENDENT</t>
  </si>
  <si>
    <t>RIG MANAGER</t>
  </si>
  <si>
    <t>ELECTRICAL SUPERVISOR</t>
  </si>
  <si>
    <t>SENIOR SUBSEA SUPERVISOR</t>
  </si>
  <si>
    <t>MECHANIC SUPERVISOR</t>
  </si>
  <si>
    <t>COMPANY MAN</t>
  </si>
  <si>
    <t>GEOLOGIST</t>
  </si>
  <si>
    <t>OOG SI</t>
  </si>
  <si>
    <t>NOV</t>
  </si>
  <si>
    <t>FMC</t>
  </si>
  <si>
    <t>EMPRESAS A BORDO</t>
  </si>
  <si>
    <t>FREE BUNK SPACES</t>
  </si>
  <si>
    <t>DAY TRIP</t>
  </si>
  <si>
    <t>DEPARTAMENTOS</t>
  </si>
  <si>
    <t>STATUS POB</t>
  </si>
  <si>
    <t>PETROBRAS</t>
  </si>
  <si>
    <t>GE OIL &amp; GAS</t>
  </si>
  <si>
    <t>VALLOUREC</t>
  </si>
  <si>
    <t>BJ</t>
  </si>
  <si>
    <t>MHWIRTH</t>
  </si>
  <si>
    <t>TENARIS</t>
  </si>
  <si>
    <t>GYRODATA</t>
  </si>
  <si>
    <t>OES</t>
  </si>
  <si>
    <t>CATERING (FEMININO)</t>
  </si>
  <si>
    <t>CAPROCK</t>
  </si>
  <si>
    <t>SDPO</t>
  </si>
  <si>
    <t>ANP</t>
  </si>
  <si>
    <t>NOME</t>
  </si>
  <si>
    <t>FUNÇÃO</t>
  </si>
  <si>
    <t>EMPRESA</t>
  </si>
  <si>
    <t>BALEEIRA</t>
  </si>
  <si>
    <t>DEPARTAMENTO</t>
  </si>
  <si>
    <t>NACIONALIDADE</t>
  </si>
  <si>
    <t>POB NORBE VIII (NS-32)</t>
  </si>
  <si>
    <t>DATA</t>
  </si>
  <si>
    <t>MARINE</t>
  </si>
  <si>
    <t>DRILLING</t>
  </si>
  <si>
    <t>MAINTENANCE</t>
  </si>
  <si>
    <t>ECR</t>
  </si>
  <si>
    <t>ELECTRICAL</t>
  </si>
  <si>
    <t>SUBSEA</t>
  </si>
  <si>
    <t>WAREHOUSE</t>
  </si>
  <si>
    <t>MEDIC</t>
  </si>
  <si>
    <t>SAFETY</t>
  </si>
  <si>
    <t>FIELD SUPPORT</t>
  </si>
  <si>
    <t>THIRD PART - PETROBRAS</t>
  </si>
  <si>
    <t>LB #1</t>
  </si>
  <si>
    <t>LB #2</t>
  </si>
  <si>
    <t>LB #3</t>
  </si>
  <si>
    <t>HALLIBURTON</t>
  </si>
  <si>
    <t>DYNAMIC AIR</t>
  </si>
  <si>
    <t>MAERSK H2S</t>
  </si>
  <si>
    <t>NEWPARK</t>
  </si>
  <si>
    <t>ONESUBSEA</t>
  </si>
  <si>
    <t>SCHLUMBERGER</t>
  </si>
  <si>
    <t>SUBSEA 7</t>
  </si>
  <si>
    <t>WELLTEC</t>
  </si>
  <si>
    <t>AKER BR</t>
  </si>
  <si>
    <t>BAKER HUGHES</t>
  </si>
  <si>
    <t>DRIL-QUIP</t>
  </si>
  <si>
    <t>EXPRO</t>
  </si>
  <si>
    <t>GEOLOG</t>
  </si>
  <si>
    <t>EDITE SOMENTE AS COLUNAS AMARELAS</t>
  </si>
  <si>
    <t>CLIENT 3rd PARTY (QUIMICO)</t>
  </si>
  <si>
    <t>SEAL INSPECTION</t>
  </si>
  <si>
    <t>PLATAFORMISTA</t>
  </si>
  <si>
    <t>ASSISTENTE DE SONDADOR</t>
  </si>
  <si>
    <t>DNV</t>
  </si>
  <si>
    <t>LIFTING</t>
  </si>
  <si>
    <t>SHIMMER</t>
  </si>
  <si>
    <t>OFFICE</t>
  </si>
  <si>
    <t>AFG</t>
  </si>
  <si>
    <t>FLOORHAND - EXTRA</t>
  </si>
  <si>
    <t>DIAS EMBARCADO</t>
  </si>
  <si>
    <t>DIA EMBARQUE</t>
  </si>
  <si>
    <t>POSIÇÃO DA CABINE</t>
  </si>
  <si>
    <t>CLIENT 3rd PARTY (CEMENTER)</t>
  </si>
  <si>
    <t>RODION SERDYUKOV</t>
  </si>
  <si>
    <t>ROBERT MAREK MATECKI</t>
  </si>
  <si>
    <t>JACK DE RIDDER</t>
  </si>
  <si>
    <t>ANDRIJA TOMIC</t>
  </si>
  <si>
    <t>CLEYDSON MENDES DE SOUSA</t>
  </si>
  <si>
    <t>MARILIA GOMES KASCHER</t>
  </si>
  <si>
    <t>LUCAS BAPTISTA ANGELIM</t>
  </si>
  <si>
    <t>FELIPE COUTO DA SILVEIRA</t>
  </si>
  <si>
    <t>JOAILTON VASCO BUENO</t>
  </si>
  <si>
    <t>DIEGO ESTEFANI DA SILVA MOREIRA</t>
  </si>
  <si>
    <t>FERNANDO LOPES RODRIGUES</t>
  </si>
  <si>
    <t>RAFAEL CASSIMIRO DE LIMA MIGUEL</t>
  </si>
  <si>
    <t>RODRIGO AMADEUS DA SILVA</t>
  </si>
  <si>
    <t>EVERALDO VITORIO DOS SANTOS LEAL</t>
  </si>
  <si>
    <t>SAMUEL DE ALMEIDA SANTOS SILVA</t>
  </si>
  <si>
    <t>LUIS AUGUSTO ALMEIDA DIAS</t>
  </si>
  <si>
    <t>LUIS DE OLIVEIRA PIRES</t>
  </si>
  <si>
    <t>JUAN COUTINHO SETIMO</t>
  </si>
  <si>
    <t>ANDREZ COSTA BARBOSA</t>
  </si>
  <si>
    <t>OSVALDO ALVES DOS SANTOS</t>
  </si>
  <si>
    <t>MARCIO LUIS DA MOTA SILVA</t>
  </si>
  <si>
    <t>LUCIO FRAGA DA SILVA PINTO</t>
  </si>
  <si>
    <t>MARCELO MONTEIRO GOMES</t>
  </si>
  <si>
    <t>VALTENCI PEIXOTO DE FARIA</t>
  </si>
  <si>
    <t>ROSINELIO DE MELO SOARES</t>
  </si>
  <si>
    <t>GUSTAVO SILVA SANTOS</t>
  </si>
  <si>
    <t>CLAUDIONOR JOSE DA SILVA</t>
  </si>
  <si>
    <t>WELLINGTON RODRIGUES BALBINO DE FREITAS</t>
  </si>
  <si>
    <t>IVAN FAUSTO DE OLIVEIRA</t>
  </si>
  <si>
    <t>PEDRO HENRIQUE PINTO COELHO</t>
  </si>
  <si>
    <t>HUDSON SAQUES DA SILVEIRA</t>
  </si>
  <si>
    <t>MARCOS ANTONIO CASSIMIRO ALVES</t>
  </si>
  <si>
    <t>FABIO FARIAS BARCELOS</t>
  </si>
  <si>
    <t>LUIS JOSE DOS SANTOS</t>
  </si>
  <si>
    <t>LUCIANO HAMBURGO SANTOS</t>
  </si>
  <si>
    <t>MARCELLO REZENDE DE QUEIROZ</t>
  </si>
  <si>
    <t>RAFAEL DE OLIVEIRA SOUZA</t>
  </si>
  <si>
    <t>SIDNEY SANTOS PEREIRA</t>
  </si>
  <si>
    <t>IURI LIBARDI CAMPOS</t>
  </si>
  <si>
    <t>RAIMUNDO NONATO SILVEIRA DA COSTA</t>
  </si>
  <si>
    <t>FERNANDO ANTONIO HOLANDA RAMOS</t>
  </si>
  <si>
    <t>DINARTE FERNANDES DE BRITO</t>
  </si>
  <si>
    <t>SONIA MARIA PEREIRA MOTA</t>
  </si>
  <si>
    <t>RODRIGO CESAR VICENTE SANTOS</t>
  </si>
  <si>
    <t>LEONARDO DINIZ VARGAS</t>
  </si>
  <si>
    <t>JULIO CESAR DOS SANTOS</t>
  </si>
  <si>
    <t>MIECZYSLAW DOMINIK WERNIKOWSKI</t>
  </si>
  <si>
    <t>DANIEL TODOROV DANAILOV</t>
  </si>
  <si>
    <t>FLAVIO IVANIR PEREIRA</t>
  </si>
  <si>
    <t>UBIRATAN BARCELO PEREIRA DE OLIVEIRA</t>
  </si>
  <si>
    <t>ANDRE LUIZ DIAS DE ARAUJO</t>
  </si>
  <si>
    <t>CARLOS HENRIQUE DA SILVA MARTINS</t>
  </si>
  <si>
    <t>EDILSON ZUMPICHIATTI DE ALMEIDA</t>
  </si>
  <si>
    <t>BRUNO GOMES VALENTIM DA COSTA</t>
  </si>
  <si>
    <t>ALEXSANDRO HENRIQUE SANTOS SILVA</t>
  </si>
  <si>
    <t>DARLAN JOSE DOREA SANTOS FILHO</t>
  </si>
  <si>
    <t>GLEIDSON DO ROSARIO CORREA</t>
  </si>
  <si>
    <t>ELCI RODRIGUES STUCKIM</t>
  </si>
  <si>
    <t>ADRIANO MONTEIRO GOMES</t>
  </si>
  <si>
    <t>DARCIO GOMES ANTUNES DE LIMA</t>
  </si>
  <si>
    <t>NELSON ANTONIO FERREIRA JUNIOR</t>
  </si>
  <si>
    <t>VICTOR ALVES COSTA</t>
  </si>
  <si>
    <t>RONALDO PONCIANO DE SOUSA</t>
  </si>
  <si>
    <t>ALESSANDRO PORTUGAL PEREIRA</t>
  </si>
  <si>
    <t>SIDNEI GOMES RIBEIRO JUNIOR</t>
  </si>
  <si>
    <t>WELLINGTON DA SILVA CASTRO</t>
  </si>
  <si>
    <t>MARCIO DA SILVA GAMA</t>
  </si>
  <si>
    <t>JUCILENE SOARES DE JESUS</t>
  </si>
  <si>
    <t>PEDRO MARIO COSTA OLIVEIRA</t>
  </si>
  <si>
    <t>EDIELSON DA SILVA FURTADO</t>
  </si>
  <si>
    <t>VINICIUS PINHEIRO MENEZES</t>
  </si>
  <si>
    <t>ALESSANDRO MARQUES BRAGATTI</t>
  </si>
  <si>
    <t>LEANDRO DA SILVA FERREIRA</t>
  </si>
  <si>
    <t>ROGERIO LIMA GOMES</t>
  </si>
  <si>
    <t>EVERTON SILVA DE MORAES</t>
  </si>
  <si>
    <t>RODRIGO DANTON METZ</t>
  </si>
  <si>
    <t>CELSO DE OLIVEIRA ROCHA</t>
  </si>
  <si>
    <t>RICARDO FABRI LIMA</t>
  </si>
  <si>
    <t>BRUNO RAMOS DOS SANTOS</t>
  </si>
  <si>
    <t>ROBERT ARRUDA ABREU VIEIRA</t>
  </si>
  <si>
    <t>JOAO PAULO PEREIRA DA HORA</t>
  </si>
  <si>
    <t>RENIVALDO DE JESUS MARQUES</t>
  </si>
  <si>
    <t>FABRICIO MARTINS PIEKALA</t>
  </si>
  <si>
    <t>PETRONIO SANTOS DE CARVALHO JUNIOR</t>
  </si>
  <si>
    <t>JAASIEL DOS SANTOS PADILHA</t>
  </si>
  <si>
    <t>ARLAN LAMONICA FERREIRA</t>
  </si>
  <si>
    <t>VISTORIADOR</t>
  </si>
  <si>
    <t>WILLAMIS RODRIGO SOUZA DA SILVA</t>
  </si>
  <si>
    <t>ANDERSON DAS NEVES ARAUJO</t>
  </si>
  <si>
    <t>THIAGO MACIEL MARTINS</t>
  </si>
  <si>
    <t>WESSEL TJITSE VRIESWIJK</t>
  </si>
  <si>
    <t>COORDENADOR DE MATERIAIS SR/SENIOR MATERIALS COORDINATOR</t>
  </si>
  <si>
    <t>WLADMYR CALLADO MARCANO</t>
  </si>
  <si>
    <t>AUXILIAR DE PLATAFORMA/ROUSTABOUT</t>
  </si>
  <si>
    <t>SUPERVISOR DE SUBSEA SENIOR/SENIOR SUBSEA SUPERVISOR</t>
  </si>
  <si>
    <t>OPERADOR DE POSIC DINAMICO/DYNAMIC POSITIONING OPERATOR</t>
  </si>
  <si>
    <t>WESLEY DA COSTA ALVES</t>
  </si>
  <si>
    <t>OPERADOR DE GUINDASTE/CRANE OPERATOR</t>
  </si>
  <si>
    <t>WELLINGTON LUIS SILVA DOS SANTOS</t>
  </si>
  <si>
    <t>MECANICO/MECHANIC</t>
  </si>
  <si>
    <t>WALDEIR FERREIRA DA SILVA</t>
  </si>
  <si>
    <t>CHEFE DE ELETRONICA/CHIEF ELETRONIC</t>
  </si>
  <si>
    <t>VLAHO MOZARA</t>
  </si>
  <si>
    <t>VITOR JOSE DE SOUZA E SILVA MONTEIRO</t>
  </si>
  <si>
    <t>ASSISTENTE DE ELETRONICA/ELECTRONIC ASSISTANT</t>
  </si>
  <si>
    <t>VICTOR MACEDO OLIVEIRA</t>
  </si>
  <si>
    <t>SUBCHEFE DE MAQUINAS/1ST ENGINEER</t>
  </si>
  <si>
    <t>SEGUNDO OFICIAL DE MAQUINAS/3RD ENGINEER</t>
  </si>
  <si>
    <t>TOMAZ LINO PEREIRA BALDUINO</t>
  </si>
  <si>
    <t>PLATAFORMISTA/FLOORMAN</t>
  </si>
  <si>
    <t>TIAGO DOLOR DOS SANTOS</t>
  </si>
  <si>
    <t>TECNICO DE ELETRONICA/ELECTRONIC TECHNICIAN</t>
  </si>
  <si>
    <t>TIAGO BARRETO ALMENDRO</t>
  </si>
  <si>
    <t>CAPITAO/CAPTAIN</t>
  </si>
  <si>
    <t>THOMAS MARK RAINEY</t>
  </si>
  <si>
    <t>ASSISTENTE DE MATERIAIS/MATERIALS ASSISTANT</t>
  </si>
  <si>
    <t>THIAGO LIMA DA SILVEIRA</t>
  </si>
  <si>
    <t>COORDENADOR DE MANUTENCAO/MAINTENANCE COORDINATOR</t>
  </si>
  <si>
    <t>STEPHEN PAUL WENTWORTH</t>
  </si>
  <si>
    <t>RADIO OPERADOR/RADIO OPERATOR</t>
  </si>
  <si>
    <t>ASSISTENTE DE TORRISTA/PUMPMAN</t>
  </si>
  <si>
    <t>TECNICO SEGURANCA DO TRABALHO/WORK SAFETY TECHNICIAN</t>
  </si>
  <si>
    <t>ENCARREGADO DE PLATAFORMA/TOOLPUSHER</t>
  </si>
  <si>
    <t>ASSISTENTE DE SUBSEA/ASSISTANT SUBSEA</t>
  </si>
  <si>
    <t>ROBERTO DORIA DE SANTANA JUNIOR</t>
  </si>
  <si>
    <t>SUPERVISOR DE ELETROELETRONICA/ELECTRO ELECTRONICS SUPERVISOR</t>
  </si>
  <si>
    <t>ROBERT MILLER STEVENSON</t>
  </si>
  <si>
    <t>ASSISTENTE SONDADOR/ASSISTANT DRILLER</t>
  </si>
  <si>
    <t>RENATO VILLELA</t>
  </si>
  <si>
    <t>RENATO LIMA ALBUQUERQUE</t>
  </si>
  <si>
    <t>ENCARREGADO DE CONVES/DECKPUSHER</t>
  </si>
  <si>
    <t>RENATO GRISOSTOLO</t>
  </si>
  <si>
    <t>RENAN NASCIMENTO DO ESPIRITO SANTO</t>
  </si>
  <si>
    <t>COORD SEGURANCA TRAB E TREIN/WORK SAFETY TRAINNING COORD</t>
  </si>
  <si>
    <t>RENAN CAMPOS DE CARVALHO</t>
  </si>
  <si>
    <t>SONDADOR CYBER/CYBER BASE DRILLER</t>
  </si>
  <si>
    <t>RAPHAEL ANTONIO NETO CRESPO FILHO</t>
  </si>
  <si>
    <t>MARINHEIRO DE MAQUINAS/OILER</t>
  </si>
  <si>
    <t>PEDRO EDUARDO OLIVEIRA DE SOUZA</t>
  </si>
  <si>
    <t>PAULO GOMES DA SILVA</t>
  </si>
  <si>
    <t>PABLO FORLAN DE SOUZA PEREIRA</t>
  </si>
  <si>
    <t>NILTON JORGE PINTO CONCEICAO</t>
  </si>
  <si>
    <t>NACIB HADDAD BISNETO</t>
  </si>
  <si>
    <t>MORTEN NEJSUM</t>
  </si>
  <si>
    <t>SUPERVISOR DE MECANICA/MECHANICAL SUPERVISOR</t>
  </si>
  <si>
    <t>MILVERTON OLIVER RICHARDS</t>
  </si>
  <si>
    <t>MARINHEIRO DE CONVES/ABSEAMAN</t>
  </si>
  <si>
    <t>MILTON BRAZ ADRIANO</t>
  </si>
  <si>
    <t>OPERADOR DE POSIC DINAMICO SR/SENIOR DYNAMIC POSITIONING OP</t>
  </si>
  <si>
    <t>MAZEN MOHAMED M M HAMED ELNAWASRA</t>
  </si>
  <si>
    <t>SUPERINTENDENTE DE PLATAFORMA/RIG SUPERINTENDENT</t>
  </si>
  <si>
    <t>MAX ALBERT DE MORAES</t>
  </si>
  <si>
    <t>MATHEUS DE PAULA FERREIRA FREITAS</t>
  </si>
  <si>
    <t>MARLON JORGE MARTINS TEIXEIRA</t>
  </si>
  <si>
    <t>IMEDIATO/CHIEF MATE</t>
  </si>
  <si>
    <t>MARIUSZ WOJCIECH DRABIUK</t>
  </si>
  <si>
    <t>CHEFE DE ELETRICA/CHIEF ELECTRICIAN</t>
  </si>
  <si>
    <t>MARCO ANTONIO BITTENCOURT DA SILVA</t>
  </si>
  <si>
    <t>MARCIO MOREIRA PACHECO</t>
  </si>
  <si>
    <t>MARCIO ADRIANO PORTUGAL OLIVEIRA</t>
  </si>
  <si>
    <t>MARCELO DA CONCEICAO RODRIGUES DE ALVARENGA</t>
  </si>
  <si>
    <t>ASSISTENTE DE MECANICO/MECHANIC ASSISTANT</t>
  </si>
  <si>
    <t>MAICON FAGGIAN</t>
  </si>
  <si>
    <t>MAICON ALVES DA SILVA</t>
  </si>
  <si>
    <t>ASSISTENTE OPER DE GUINDASTE/ASSISTANT CRANE OPERATOR</t>
  </si>
  <si>
    <t>MAICO DE ALMEIDA OLIVEIRA</t>
  </si>
  <si>
    <t>MAGAIVER TIAGO VITORINO</t>
  </si>
  <si>
    <t>MESTRE DE CABOTAGEM/BOSUN</t>
  </si>
  <si>
    <t>LUIZ CARLOS MACHADO MATSUDA</t>
  </si>
  <si>
    <t>LUCIANO DE ASSIS XAVIER</t>
  </si>
  <si>
    <t>LEILTON DE MORAES MARQUES</t>
  </si>
  <si>
    <t>LEANDRO SCARPARO RODRIGUES</t>
  </si>
  <si>
    <t>LEANDRO PAZ MARQUES DOS SANTOS</t>
  </si>
  <si>
    <t>KLEUDER FERREIRA CORTES</t>
  </si>
  <si>
    <t>KARINA VASCONCELOS BARBOSA</t>
  </si>
  <si>
    <t>ENGENHEIRO OPERACIONAL OFFSHORE/OFFSHORE OPERATIONAL ENGINEER</t>
  </si>
  <si>
    <t>JUSSARA TELES DA SILVA</t>
  </si>
  <si>
    <t>JOSIAS MAURER CAMARGO</t>
  </si>
  <si>
    <t>JORGE FERNANDO PINTO RIBEIRO</t>
  </si>
  <si>
    <t>JOAO PEDRO DA SILVA JUNIOR</t>
  </si>
  <si>
    <t>JOAO BATISTA SILVA</t>
  </si>
  <si>
    <t>ASSISTENTE DE ELETRICA/ELETRICIAN ASSISTANT</t>
  </si>
  <si>
    <t>JAIR MESADRI</t>
  </si>
  <si>
    <t>CHEFE DE MAQUINAS/CHIEF ENGINEER</t>
  </si>
  <si>
    <t>JACEK ARKADIUSZ WITCZYK</t>
  </si>
  <si>
    <t>IVAN PAJIC</t>
  </si>
  <si>
    <t>ISMAEL HERINGER JUNIOR</t>
  </si>
  <si>
    <t>TORRISTA/DERRICKMAN</t>
  </si>
  <si>
    <t>ISMAEL ARAUJO</t>
  </si>
  <si>
    <t>HUGO PEIXOTO BARROS PEREIRA</t>
  </si>
  <si>
    <t>ELETRICISTA/ELETRICIAN</t>
  </si>
  <si>
    <t>HUGO AZEVEDO OLIVEIRA SILVA</t>
  </si>
  <si>
    <t>GUSTAVO LUIZ GONCALVES DE ANDRADE</t>
  </si>
  <si>
    <t>GUILHERME RODRIGUES FONSECA</t>
  </si>
  <si>
    <t>GUILHERME FRANCISCO SILVA</t>
  </si>
  <si>
    <t>GREGORY VELLASCO CORREA</t>
  </si>
  <si>
    <t>GABRIELA DA COSTA LINO</t>
  </si>
  <si>
    <t>GABRIEL SIQUEIRA DA SILVA</t>
  </si>
  <si>
    <t>FELIPE DE PAULA PINTO</t>
  </si>
  <si>
    <t>EZIO FLORIANO ALEGRE</t>
  </si>
  <si>
    <t>ERIK VAN NOUHUYS</t>
  </si>
  <si>
    <t>ELVIS OLIVEIRA DE SOUSA</t>
  </si>
  <si>
    <t>ELENILDO SILVA DE BRITTO</t>
  </si>
  <si>
    <t>ENFERMEIRO/NURSE</t>
  </si>
  <si>
    <t>EDUARDO DE SOUZA SANTOS</t>
  </si>
  <si>
    <t>EDIMAR DO NASCIMENTO FERREIRA</t>
  </si>
  <si>
    <t>SUPERVISOR DE SUBSEA/SUBSEA SUPERVISOR</t>
  </si>
  <si>
    <t>DIEGO TINOCO GONCALVES</t>
  </si>
  <si>
    <t>DIEGO OLIVEIRA DIAS</t>
  </si>
  <si>
    <t>DAVID DE SOUZA MATTOS</t>
  </si>
  <si>
    <t>DARIO BARISIC</t>
  </si>
  <si>
    <t>DANIEL OLIVEIRA GONCALVES</t>
  </si>
  <si>
    <t>COORDENADOR DE MATERIAIS/MATERIALS COORDINATOR</t>
  </si>
  <si>
    <t>DANIEL OLIVEIRA FERNANDES</t>
  </si>
  <si>
    <t>DANIEL BISPO REIS</t>
  </si>
  <si>
    <t>CHEFE DE MECANICA/CHIEF MECHANIC</t>
  </si>
  <si>
    <t>CASSIO FERNANDO MONTE POLI</t>
  </si>
  <si>
    <t>CARLOS FABIANO GUIMARAES MOTTA</t>
  </si>
  <si>
    <t>TEC SEG DO TRABALHO TRAINEE/WORK SAFETY TECHNICIAN TRAINEE</t>
  </si>
  <si>
    <t>CARLOS ALBERTO RISCADO GUERRA BASTOS</t>
  </si>
  <si>
    <t>BRUNO RIBEIRO DE JESUS</t>
  </si>
  <si>
    <t>BRUNO JOSE CID DE SOUZA BARCELOS</t>
  </si>
  <si>
    <t>PRIMEIRO OFICIAL DE MAQUINAS/2ND ENGINEER</t>
  </si>
  <si>
    <t>BRUNO AMADEU DOS SANTOS</t>
  </si>
  <si>
    <t>BRAULIO FARINA CAMPAGNARO</t>
  </si>
  <si>
    <t>AUGUSTO VIEIRA DE AGUIAR AMORIM</t>
  </si>
  <si>
    <t>ANDREJ LUIGI TOMMASI OLIVEIRA KUEHN</t>
  </si>
  <si>
    <t>ANDRE LUIS ALVES DA ROSA</t>
  </si>
  <si>
    <t>ANDERSON PEREIRA CLAUDINO DA SILVA</t>
  </si>
  <si>
    <t>ANDERSON LUIZ LUDGERO DE OLIVEIRA</t>
  </si>
  <si>
    <t>ANDERSON CARON SCHWENCK</t>
  </si>
  <si>
    <t>ANDERSON CALIXTO MACEDO</t>
  </si>
  <si>
    <t>ALLAN JUNIOR DAL RIO</t>
  </si>
  <si>
    <t>ALEXANDRE TEIXEIRA DE CARVALHO</t>
  </si>
  <si>
    <t>ALEXANDRE GOMES ZEFERINO</t>
  </si>
  <si>
    <t>ALESSANDRO DE ASSIS LEITE</t>
  </si>
  <si>
    <t>AARON DE LIMA GUERRIERI PINHEIRO</t>
  </si>
  <si>
    <t>OCYAN</t>
  </si>
  <si>
    <t>ADELSON COELHO DE FREITAS JUNIOR</t>
  </si>
  <si>
    <t>ADEMIR DE OLIVEIRA JUNIOR</t>
  </si>
  <si>
    <t>ADILSON JUNIOR REIS CARVALHO</t>
  </si>
  <si>
    <t>ADINALVA MARIA VIANA BARBOSA</t>
  </si>
  <si>
    <t>ADRIANO CORREA DE MATTOS</t>
  </si>
  <si>
    <t>AGNALDO DO CARMO SILVA</t>
  </si>
  <si>
    <t>ALESSANDRO DANININ BENTO</t>
  </si>
  <si>
    <t>ALEXANDRE PEREIRA DO ROSARIO NEVES</t>
  </si>
  <si>
    <t>ALEXANDRE SOARES DE LIMA NUNES</t>
  </si>
  <si>
    <t>ALFREDO JOSE BALBINO MUCE DOS SANTOS</t>
  </si>
  <si>
    <t>ALRICIMAR RODRIGUES CAMPELO</t>
  </si>
  <si>
    <t>ALTAMIRA MIRANDA DOS SANTOS</t>
  </si>
  <si>
    <t>ANA PAULA GOMES DO VALE</t>
  </si>
  <si>
    <t>ANDERSON DE OLIVEIRA LIMA</t>
  </si>
  <si>
    <t>ANDERSON DO NASCIMENTO MENDONÇA</t>
  </si>
  <si>
    <t>ANDERSON FLAVIO DO NASCIMENTO PEREIRA</t>
  </si>
  <si>
    <t>ANDERSON NUNES BARBOSA</t>
  </si>
  <si>
    <t>ANDRE GUILHERME WEBLER SOARES</t>
  </si>
  <si>
    <t>ANDRIW DOS SANTOS RODRIGUES GOMES</t>
  </si>
  <si>
    <t>ANTONIO MARIA DE OLIVEIRA BOA MORTE</t>
  </si>
  <si>
    <t>BARBARA LOURENÇO DE MORAIS</t>
  </si>
  <si>
    <t>BENHUR DE JESUS BALERINI</t>
  </si>
  <si>
    <t>BRUNO COSTA DE MATOS</t>
  </si>
  <si>
    <t>CARLA DA SILVA PALADINO</t>
  </si>
  <si>
    <t>CARLOS EDUARDO CLAUDINO DE SOUZA</t>
  </si>
  <si>
    <t>CARLOS EDUARDO VIEIRA DOS SANTOS</t>
  </si>
  <si>
    <t>CARLOS MAGNO RIBEIRO DO NASCIMENTO JACINTHO</t>
  </si>
  <si>
    <t>CASSIA REGINA DAFLON MACHADO</t>
  </si>
  <si>
    <t>CELIO BAZETH FERREIRA JUNIOR</t>
  </si>
  <si>
    <t>CHARLES MOTA MANHAES</t>
  </si>
  <si>
    <t>CHESTERTON EUGENIO DE SOUZA</t>
  </si>
  <si>
    <t>CLAUDINEI ANTONIO MOREIRA</t>
  </si>
  <si>
    <t>CLEBER AZEREDO LEAL</t>
  </si>
  <si>
    <t>CLEIBE NASCIMENTO SANTOS</t>
  </si>
  <si>
    <t>CLEITON BATISTA FERREIRA DA FONSECA</t>
  </si>
  <si>
    <t>CRISTIANE DOS SANTOS SOARES</t>
  </si>
  <si>
    <t>DANILO PEREIRA DIONISIO</t>
  </si>
  <si>
    <t>DEBORA MEDINA DE CASTRO VELLOSO</t>
  </si>
  <si>
    <t>DEIVID BARBOZA FARIAS</t>
  </si>
  <si>
    <t>DEJAILSON JOAQUIM DA SILVA</t>
  </si>
  <si>
    <t>DENISON DE DEUS RIBEIRO</t>
  </si>
  <si>
    <t>DIEGO DE MATOS OLA</t>
  </si>
  <si>
    <t>DIEGO PACHECO DE SOUZA</t>
  </si>
  <si>
    <t>DIEGO PEDROSA DE SOUZA</t>
  </si>
  <si>
    <t>DIOGO DE SOUSA DA SILVA</t>
  </si>
  <si>
    <t>DIOGO DOS SANTOS BARBOSA</t>
  </si>
  <si>
    <t>DIONI MARTINS TOLEDO</t>
  </si>
  <si>
    <t>DOLGLAS ARAUJO FERREIRA</t>
  </si>
  <si>
    <t>EDGAR ALVES DE FREITAS</t>
  </si>
  <si>
    <t>EDIMILSON DA SILVA SANTOS</t>
  </si>
  <si>
    <t>EDIVALDO DE SOUZA FERREIRA</t>
  </si>
  <si>
    <t>EDSON DA GUIA DE SOUZA</t>
  </si>
  <si>
    <t>EDSON DOMINGOS RODRIGUES</t>
  </si>
  <si>
    <t>EMILSON DA SILVA LAURIANO</t>
  </si>
  <si>
    <t>ENILTON MARCILIO CORREA</t>
  </si>
  <si>
    <t>ERIC AMORIM PEREIRA</t>
  </si>
  <si>
    <t>ESDRAS PORFIRIO DE SOUZA</t>
  </si>
  <si>
    <t>EUCLIDES ANDRADE ANTONIO</t>
  </si>
  <si>
    <t>EVELINNE DIMA</t>
  </si>
  <si>
    <t xml:space="preserve">FABIANO DOS SANTOS </t>
  </si>
  <si>
    <t>FÁBIO CORDEIRO DA SILVA</t>
  </si>
  <si>
    <t>FABIO FERREIRA RIBEIRO</t>
  </si>
  <si>
    <t>FABIO GALVAO DA ROSA</t>
  </si>
  <si>
    <t>FABIO GEAN DO NASCIMENTO</t>
  </si>
  <si>
    <t>FABRICIO DE MEDEIROS RODRIGUES</t>
  </si>
  <si>
    <t>FABRICIO DOS SANTOS SILVA</t>
  </si>
  <si>
    <t>FABRICIO GOMES SOARES</t>
  </si>
  <si>
    <t>FABRICIO PEREIRA MACIEL</t>
  </si>
  <si>
    <t xml:space="preserve">FELIPE DA SILVA SOUZA                               </t>
  </si>
  <si>
    <t>FELIPE DOS SANTOS PEREIRA</t>
  </si>
  <si>
    <t>FILIPE BAPTISTA DOS SANTOS</t>
  </si>
  <si>
    <t>FRANCISCO ANTONIO FERREIRA SANTOS</t>
  </si>
  <si>
    <t>FRANCISCO DE ASSIS BENTO BAHIA</t>
  </si>
  <si>
    <t>FRANCISCO RICARDO ALVES FERREIRA</t>
  </si>
  <si>
    <t>FREDERICK SCHELCK OLIVEIRA</t>
  </si>
  <si>
    <t>GABRIEL GERMANO DIMAS MARIANO</t>
  </si>
  <si>
    <t>GABRIEL RANGEL DA CUNHA</t>
  </si>
  <si>
    <t>GEANE PORFIRIO DE SOUZA</t>
  </si>
  <si>
    <t>GENILDO SANTIAGO DO ESPIRITO SANTO</t>
  </si>
  <si>
    <t xml:space="preserve">GEOVANI DO EGITO FERRAZ                          </t>
  </si>
  <si>
    <t>GILBERTO DE SOUSA NUNES</t>
  </si>
  <si>
    <t>GUSTAVO QUINTILIANO DA COSTA</t>
  </si>
  <si>
    <t>GUSTAVO VIEIRA DE OLIVEIRA SANTOS</t>
  </si>
  <si>
    <t>HEMERSON SANTOS LIMA</t>
  </si>
  <si>
    <t>HENRIQUE FERREIRA DE SOUZA</t>
  </si>
  <si>
    <t>HILDEBRANDO DA SILVA SANTOS JUNIOR</t>
  </si>
  <si>
    <t>HUBERSON BARBOSA CAETANO</t>
  </si>
  <si>
    <t>IGOR ABALEM BARBOSA</t>
  </si>
  <si>
    <t>INAVALDO DE ARAUJO AZEVEDO</t>
  </si>
  <si>
    <t>ISMAR AZEVEDO DE SOUZA</t>
  </si>
  <si>
    <t>IVANILDO FERREIRA TRINDADE</t>
  </si>
  <si>
    <t>IVERSON LEITE AMORIM</t>
  </si>
  <si>
    <t>JAIRO DA SILVA SOUZA</t>
  </si>
  <si>
    <t>JAKELINE VALESIAN DE AGUIAR</t>
  </si>
  <si>
    <t>JEFERSON DA SILVA NASCIMENTO</t>
  </si>
  <si>
    <t>JELIAINE ALVES LAGE</t>
  </si>
  <si>
    <t>JESSE DE LIMA DA SILVA ARAUJO</t>
  </si>
  <si>
    <t>JEYSON PEREIRA DA SILVA</t>
  </si>
  <si>
    <t>JHONATAN DE OLIVEIRA COUTINHO</t>
  </si>
  <si>
    <t>JHONATAN VIEIRA PIRES</t>
  </si>
  <si>
    <t>JOBERT CESAR DA SILVA</t>
  </si>
  <si>
    <t>JONATAS BRAGA FERREIRA</t>
  </si>
  <si>
    <t>JORGE MAYCON ANDRADE DE SOUZA</t>
  </si>
  <si>
    <t>JORGE REID PARAHIBA</t>
  </si>
  <si>
    <t>JOSE FABIO DOS SANTOS SILVA</t>
  </si>
  <si>
    <t>JOSE ORLANDO FURTADO LOPES</t>
  </si>
  <si>
    <t>JOSIELSOM FARINHA REZIER</t>
  </si>
  <si>
    <t>JOSIMAR RIBEIRO PEREIRA</t>
  </si>
  <si>
    <t>JULIO CESAR CAMPANELI ROBERTO DA SILVA JUNIOR</t>
  </si>
  <si>
    <t>JUNIOR CEZAR DE OLIVEIRA RUIS</t>
  </si>
  <si>
    <t>KATIA SUELY CARDOSO DOS SANTOS SOUZA</t>
  </si>
  <si>
    <t>KELLY MONTAN DA SILVA</t>
  </si>
  <si>
    <t>KLEDEILSON SILVEIRA DA SILVA</t>
  </si>
  <si>
    <t>LEANDRO BARRETO DA SILVA</t>
  </si>
  <si>
    <t>LEANDRO CARVALHO ALVES</t>
  </si>
  <si>
    <t>LEANDRO DE JESUS DA CONCEIÇÃO</t>
  </si>
  <si>
    <t>LEANDRO FERNANDES CABRAL</t>
  </si>
  <si>
    <t>LEANDRO FERREIRA DOS SANTOS</t>
  </si>
  <si>
    <t>LEANDRO PEREIRA TEIXEIRA</t>
  </si>
  <si>
    <t>LEANDRO PESSANHA SANTOS</t>
  </si>
  <si>
    <t>LEANDRO SILVA VIANA</t>
  </si>
  <si>
    <t>LELIA SANTOS ALMEIDA</t>
  </si>
  <si>
    <t>LEONARDO CUNHA PIMENTA</t>
  </si>
  <si>
    <t>LEONARDO RIBEIRO DA SILVA</t>
  </si>
  <si>
    <t>LEONIDAS ROSA DA SILVA</t>
  </si>
  <si>
    <t>LEOZI DOS SANTOS TAVARES</t>
  </si>
  <si>
    <t>LEUREM CAMILO DE CASTRO</t>
  </si>
  <si>
    <t>LUCAS COSTA VIANA</t>
  </si>
  <si>
    <t>LUCAS FRANCA PALAGAR</t>
  </si>
  <si>
    <t>LUCAS RIBEIRO DE SOUZA</t>
  </si>
  <si>
    <t>LUCAS RICARDO DA SILVA</t>
  </si>
  <si>
    <t>LUCIANA BACHETTI CESTARI</t>
  </si>
  <si>
    <t>LUCIANO DOMINGUES AREAS</t>
  </si>
  <si>
    <t>LUCIANO JUVENCIO DA SILVA</t>
  </si>
  <si>
    <t>LUIS CARLOS CORDEIRO HALLER</t>
  </si>
  <si>
    <t>LUIS CLAUDIO DE BRITO MENDES</t>
  </si>
  <si>
    <t>LYDIA MARIA LIMA DE SOUZA</t>
  </si>
  <si>
    <t>MAGNO BARBOSA MANTOVANI</t>
  </si>
  <si>
    <t>MAICKON COUTINHO DE SOUZA</t>
  </si>
  <si>
    <t>MANOEL EDUARDO BATISTA DE JESUS</t>
  </si>
  <si>
    <t>MARCELLO CORREA PEREIRA DA SILVA</t>
  </si>
  <si>
    <t>MARCELLO LOPES DE OLIVEIRA</t>
  </si>
  <si>
    <t>MARCELO ARAUJO MAGARAO CARDOSO</t>
  </si>
  <si>
    <t>MARCELO CORREA DA SILVA</t>
  </si>
  <si>
    <t>MARCELO DA SILVA</t>
  </si>
  <si>
    <t>MARCELO SILVA BATISTA</t>
  </si>
  <si>
    <t>MARCELO WESLEY DE SOUZA</t>
  </si>
  <si>
    <t>MARCIELE VIEIRA DOS SANTOS</t>
  </si>
  <si>
    <t>MARCO ANTONIO GOMES FERNANDES</t>
  </si>
  <si>
    <t>MARCO ANTONIO TEIXEIRA JUNIOR</t>
  </si>
  <si>
    <t>MARCO ANTONIO VICENTE</t>
  </si>
  <si>
    <t>MARCOS ALVES MACHADO JUNIOR</t>
  </si>
  <si>
    <t>MARCOS ANTONIO BRAGA DA SILVA</t>
  </si>
  <si>
    <t>MARCOS ANTONIO PEREIRA CARNEIRO</t>
  </si>
  <si>
    <t>MARCOS AURELIO DE OLIVEIRA SOUZA</t>
  </si>
  <si>
    <t>MARCOS DOUGLAS WILLEMEN GOMES</t>
  </si>
  <si>
    <t>MARCOS VINICIUS DE OLIVEIRA ARAÚJO</t>
  </si>
  <si>
    <t>MARLON SILVA PAIVA</t>
  </si>
  <si>
    <t>MARYNIZIA MARTINS COSTA</t>
  </si>
  <si>
    <t>MATEUS DE SOUZA MOTTA</t>
  </si>
  <si>
    <t>MATHEUS DE SOUZA DOMINGUES DA SILVA</t>
  </si>
  <si>
    <t>MAURA MOTA DE SOUZA</t>
  </si>
  <si>
    <t>MAYARA AMORIM MACHADO</t>
  </si>
  <si>
    <t>MICHEL DE MATTOS OLIVEIRA</t>
  </si>
  <si>
    <t>MILTON GOMES FRANCISCO</t>
  </si>
  <si>
    <t>NATALIA MAPA MENDES</t>
  </si>
  <si>
    <t>NATANAEL LOUREDO QUINTAS</t>
  </si>
  <si>
    <t>NATHAN SOUZA DE OLIVEIRA</t>
  </si>
  <si>
    <t>ORDILEY DOS REIS ROSAIS</t>
  </si>
  <si>
    <t>ORLANDO RODRIGUES DA SILVA</t>
  </si>
  <si>
    <t>OSIEL DOS SANTOS LOPES</t>
  </si>
  <si>
    <t>OSVALDO DA SILVA TRAVASSOS</t>
  </si>
  <si>
    <t>OTAVIO NATAL DOS SANTOS</t>
  </si>
  <si>
    <t>PATRICK SILVA DOS SANTOS</t>
  </si>
  <si>
    <t>PAULO FREITAS DE SOUZA</t>
  </si>
  <si>
    <t>PAULO HENRIQUE BARRETO DE ALMEIDA</t>
  </si>
  <si>
    <t>PAULO SERGIO CESAR MARTINS</t>
  </si>
  <si>
    <t>PAULO SERGIO JUVENCIO NOVAES</t>
  </si>
  <si>
    <t>PEDRO DOS SANTOS SOUZA</t>
  </si>
  <si>
    <t>PEDRO HENRIQUE LIMA TEODORO</t>
  </si>
  <si>
    <t>PEDRO MENDONCA NETO</t>
  </si>
  <si>
    <t>RAFAEL DE ALVARENGA FERREIRA</t>
  </si>
  <si>
    <t>RAFAEL NOGUEIRA MEDEIROS</t>
  </si>
  <si>
    <t>RAFAEL RODRIGUES PINTO CORREA SERRA</t>
  </si>
  <si>
    <t>RAFAEL TEIXEIRA DA SILVA</t>
  </si>
  <si>
    <t>RAUFER GARCIA FERREIRA</t>
  </si>
  <si>
    <t>RAYAN GONCALVES DE PAULO</t>
  </si>
  <si>
    <t>RENATO DOS REIS SANTOS</t>
  </si>
  <si>
    <t>RENATO SALLES PINTO</t>
  </si>
  <si>
    <t>ROBSON NARCIZO RIBEIRO</t>
  </si>
  <si>
    <t>RODRIGO DE PAULA BOROTO</t>
  </si>
  <si>
    <t>RODRIGO DE SOUZA ALVES NUNES</t>
  </si>
  <si>
    <t>RODRIGO OLIVEIRA DE AZEVEDO</t>
  </si>
  <si>
    <t xml:space="preserve">ROGERIO GONCALVES DA COSTA GOMES  </t>
  </si>
  <si>
    <t>ROGERIO RIBEIRO GUIMARAES</t>
  </si>
  <si>
    <t>ROMILTON PEREIRA DA SILVA OLIVEIRA</t>
  </si>
  <si>
    <t>RONALDO DA SILVA BEZERRA</t>
  </si>
  <si>
    <t>RUTH NAZARETH DOS SANTOS ASSEN</t>
  </si>
  <si>
    <t>SAULO DE OLIVEIRA MARTINS</t>
  </si>
  <si>
    <t>SAULO DE OLIVIERA MARTINS</t>
  </si>
  <si>
    <t>SEBASTIAO BATISTA FERREIRA</t>
  </si>
  <si>
    <t>SILVANA DE OLIVEIRA CARDOZO</t>
  </si>
  <si>
    <t>SILVANO DA SILVA</t>
  </si>
  <si>
    <t>SONIA MARIA RIBEIRO ALVES BURCK</t>
  </si>
  <si>
    <t>SUELEN MOTA DA CONCEICAO</t>
  </si>
  <si>
    <t>TALVANE ORNELLAS CERCA JUNIOR</t>
  </si>
  <si>
    <t>TERCIO BRAGA CORREIA</t>
  </si>
  <si>
    <t>THIAGO GONCALVES ALVARENGA</t>
  </si>
  <si>
    <t>THIAGO GONÇALVES DE ALVARENGA</t>
  </si>
  <si>
    <t>THIAGO LAZARINI DE SOUZA</t>
  </si>
  <si>
    <t>THIAGO NASCIMENTO ALVES</t>
  </si>
  <si>
    <t>THIAGO ROCHA DA SILVA</t>
  </si>
  <si>
    <t>THOMAZ SOARES ALVES PESSANHA</t>
  </si>
  <si>
    <t>TIAGO GOMES PIRES</t>
  </si>
  <si>
    <t>UEDSON TEXEIRA DO PRADO</t>
  </si>
  <si>
    <t>UERITON GOUDAR DA SILVA</t>
  </si>
  <si>
    <t>UESCLEI DA SILVA BASTOS</t>
  </si>
  <si>
    <t>VANDECARLOS NOGUEIRA NEVES</t>
  </si>
  <si>
    <t>VICTOR DA SILVA DOS SANTOS</t>
  </si>
  <si>
    <t>VICTOR NUNES QUEIROZ DE LIMA</t>
  </si>
  <si>
    <t>VICTOR RENATO DE ALMEIDA PAIVA</t>
  </si>
  <si>
    <t>VINICIUS ALMEIDA DA SILVA</t>
  </si>
  <si>
    <t>VITOR DA SILVA BERAL</t>
  </si>
  <si>
    <t>WALLACE DA SILVA FONSECA</t>
  </si>
  <si>
    <t>WANAINY RODRIGUES ANDRADE</t>
  </si>
  <si>
    <t>WANDERSON DA SILVA DE OLIVEIRA</t>
  </si>
  <si>
    <t>WASHINGTON LUIZ RODRIGUES ESTOLLER</t>
  </si>
  <si>
    <t>WELINGTON DAS CHAGAS RODRIGUES</t>
  </si>
  <si>
    <t>WELLINGTON GONCALVES DOS SANTOS SILVA</t>
  </si>
  <si>
    <t>WELLINGTON PEREIRA DA SILVA</t>
  </si>
  <si>
    <t>WESLEY FERRARI ZAN VIOTI</t>
  </si>
  <si>
    <t>WILDEMAR DA SILVA DEMARQUE</t>
  </si>
  <si>
    <t>WILHANS POSES DA CRUZ</t>
  </si>
  <si>
    <t>WILIAM NASCIMENTO MARQUES</t>
  </si>
  <si>
    <t>ALAN DE OLIVEIRA CAMPOS</t>
  </si>
  <si>
    <t>ALBÉRICO DA SILVA BELA</t>
  </si>
  <si>
    <t>ALEXANDER PAIXÃO DO CARMO</t>
  </si>
  <si>
    <t>ANDRE ALBERTINO DA VITORIA</t>
  </si>
  <si>
    <t>BONAKEPTY TIAGO VEIGA</t>
  </si>
  <si>
    <t>BRUNO MALAQUIAS MACIEL</t>
  </si>
  <si>
    <t>CASSIO ROCHA GARCIA</t>
  </si>
  <si>
    <t>CELIO ODILON FARIA DOS SANTOS</t>
  </si>
  <si>
    <t>CLAUDEMIR PAULIN</t>
  </si>
  <si>
    <t>CLEBER DE SOUZA NEVES</t>
  </si>
  <si>
    <t>CRISTIANO ALEX DOS SANTOS OLIVEIRA</t>
  </si>
  <si>
    <t>DANIEL FILIPE DA SILVA CAROSO</t>
  </si>
  <si>
    <t>DARLAN MEIRELES DUQUE</t>
  </si>
  <si>
    <t>EDUARDO ÂNGELO ARAÚJO</t>
  </si>
  <si>
    <t>ELIAS SOUZA PANTOJA</t>
  </si>
  <si>
    <t>FABIO RIBEIRO DO NASCIMENTO</t>
  </si>
  <si>
    <t>FELIPE ALVES GUIMARAES</t>
  </si>
  <si>
    <t>CONSULTOR ESPECIALIZADO</t>
  </si>
  <si>
    <t xml:space="preserve">GABRIEL MACEDO CASTRO DA SILVA REGO </t>
  </si>
  <si>
    <t>GABRIEL VITORIA PEREIRA DA COSTA</t>
  </si>
  <si>
    <t>GIL SILVA BARCELLOS</t>
  </si>
  <si>
    <t>GIOVANI SILVA BARCELLOS</t>
  </si>
  <si>
    <t>ISAC OBIAS OLIVEIRA DA SILVA</t>
  </si>
  <si>
    <t>ISAIAS JACINTO DE SOUZA JUNIOR</t>
  </si>
  <si>
    <t>JELSEI DE SOUZA OLIVEIRA</t>
  </si>
  <si>
    <t>LUIZ FERNANDO MACHADO MARQUES</t>
  </si>
  <si>
    <t>MÁRCIO CELESTINO FERNANDES</t>
  </si>
  <si>
    <t>MARCO ANTÔNIO SOARES DE SOUZA</t>
  </si>
  <si>
    <t>MATEUS ARAUJO DE MENEZES</t>
  </si>
  <si>
    <t>NATANAEL DA SILVA CADIMO</t>
  </si>
  <si>
    <t>NELSON HENRIQUES NOGUEIRA NETO</t>
  </si>
  <si>
    <t>NÍCOLAS AUGUSTO COTIGNOLA</t>
  </si>
  <si>
    <t>OSVALDO JOSÉ ROLEMBERG BATISTA DE OLIVEIRA</t>
  </si>
  <si>
    <t>PAULO CESAR SILVA OLIVEIRA</t>
  </si>
  <si>
    <t>RAFAEL MAGNO SANTOS DORTAS</t>
  </si>
  <si>
    <t>ROBSON DA SILVA CADIMO</t>
  </si>
  <si>
    <t>THOMAS MCGREGOR</t>
  </si>
  <si>
    <t>UANDERSON REGIANI AMARAL</t>
  </si>
  <si>
    <t>VALTER QUIRINO DE SOUSA JUNIOR</t>
  </si>
  <si>
    <t>WANDERSON ALVARENGA MENEZES</t>
  </si>
  <si>
    <t>WELLINGTON SILVEIRA DE SOUZA</t>
  </si>
  <si>
    <t>WENDEL AMADEU SILVA</t>
  </si>
  <si>
    <t xml:space="preserve">WENDEL AMANDEU SILVA </t>
  </si>
  <si>
    <t>WILLIANS MARTINS CAMPOS</t>
  </si>
  <si>
    <t>ADRIAN WILLIAN DA SILVA PEREIRA</t>
  </si>
  <si>
    <t>ALEX SANDRO FALCAO ALVES</t>
  </si>
  <si>
    <t>ALEXANDRO DOS SANTOS FIGUEIREDO</t>
  </si>
  <si>
    <t>ALTIERES JULIAO CARDOZO</t>
  </si>
  <si>
    <t>ANDRE LUIZ COUTINHO FERREIRA</t>
  </si>
  <si>
    <t>ANDRE POSTO DE LIMA</t>
  </si>
  <si>
    <t>ANDRE VIEIRA PEREIRA</t>
  </si>
  <si>
    <t>ANTONIO CARLOS DA SILVA FERREIRA</t>
  </si>
  <si>
    <t>ANTONIO DA HORA</t>
  </si>
  <si>
    <t>ARIDELSON MARTINS SALLES</t>
  </si>
  <si>
    <t>BRAZ TRINDADE FLORENTINO</t>
  </si>
  <si>
    <t>BRUNO DE JESUS DOS SANTOS</t>
  </si>
  <si>
    <t>CAMILA MANHAES PAES HENRIQUES</t>
  </si>
  <si>
    <t>CARLITO VIEIRA LOPES JUNIOR</t>
  </si>
  <si>
    <t>CARLOS ALBERTO BATISTA DE SANTANA FILHO</t>
  </si>
  <si>
    <t>CARLOS EDUARDO RODRIGUES DE LIMA</t>
  </si>
  <si>
    <t>CLAUDIO BENEDITO DOS SANTOS</t>
  </si>
  <si>
    <t>CLAUDIO FERREIRA MONTEIRO</t>
  </si>
  <si>
    <t>CLAUDIO WILSON BARBOSA ALVES</t>
  </si>
  <si>
    <t>CLAUDIOMAR VIEIRA CODECO</t>
  </si>
  <si>
    <t>CLAUDIONOR GOMES DOS SANTOS</t>
  </si>
  <si>
    <t>CLEBER SIMPLICIO ALVES</t>
  </si>
  <si>
    <t>CRISTIANO CUNHA DA SILVA</t>
  </si>
  <si>
    <t>CRISTIANO DA SILVA DOS SANTOS</t>
  </si>
  <si>
    <t>DANICLEY NUNES REIS TORRES</t>
  </si>
  <si>
    <t>DANIEL GOMES QUELHAS PENIDO</t>
  </si>
  <si>
    <t>DANIELLE DOS SANTOS MANHAES</t>
  </si>
  <si>
    <t>DANILO DA SILVA MARTINS</t>
  </si>
  <si>
    <t>DENISSON LUIZ SANTOS</t>
  </si>
  <si>
    <t>DIEGGO DOS SANTOS MANHAES</t>
  </si>
  <si>
    <t>DIEGO ALVES PEREIRA</t>
  </si>
  <si>
    <t>DIEGO PEREIRA DA SILVA</t>
  </si>
  <si>
    <t>DIEGO PEREIRA DE SOUSA</t>
  </si>
  <si>
    <t>DIEGO VALENTIM DA SILVA</t>
  </si>
  <si>
    <t>DIOGENES FRANZINE SOUZA</t>
  </si>
  <si>
    <t>DIOGENES FRANZINI SOUZA</t>
  </si>
  <si>
    <t>DJALMA BARBOSA NETO</t>
  </si>
  <si>
    <t>DOMINGOS BONFIM DA SILVA</t>
  </si>
  <si>
    <t>DOWGLAS MOTA RIBEIRO AREAS</t>
  </si>
  <si>
    <t>EDENIR JOSE JORGE SALES</t>
  </si>
  <si>
    <t>EDSON PORTO DE OLIVEIRA</t>
  </si>
  <si>
    <t>EDSON SANTOS DE SENA</t>
  </si>
  <si>
    <t>EDUARDO COUTINHO DA CUNHA</t>
  </si>
  <si>
    <t>EDVALDO ROCHA CARNEIRO</t>
  </si>
  <si>
    <t>ELBER FONSECA DOS SANTOS</t>
  </si>
  <si>
    <t>ELIABI SILVA MEIRELES</t>
  </si>
  <si>
    <t>ELVES SILVA DA CONCEIÇÃO</t>
  </si>
  <si>
    <t>ERLAN DOS SANTOS ARANHA</t>
  </si>
  <si>
    <t>ERMANO RANGEL EMERICK PACHECO</t>
  </si>
  <si>
    <t>EVANGIVALDO MATOS AZEVEDO</t>
  </si>
  <si>
    <t>EVERALDO DA CUNHA AZEVEDO</t>
  </si>
  <si>
    <t>FABIANO DO NASCIMENTO MAGALHAES</t>
  </si>
  <si>
    <t>FABIO LUIS DOS SANTOS OLIVEIRA</t>
  </si>
  <si>
    <t>FABIO SIMPLICIO FIRMINO</t>
  </si>
  <si>
    <t>FELIPE NETO MACHADO</t>
  </si>
  <si>
    <t>FERNANDO GARCIA PINHEIRO</t>
  </si>
  <si>
    <t>FERNANDO VIDAL DE OLIVEIRA</t>
  </si>
  <si>
    <t>FIDELIS DOS SANTOS SILVA FILHO</t>
  </si>
  <si>
    <t>FLAVIO CARLOS CANDIDO DE SOUZA</t>
  </si>
  <si>
    <t>GILVAN DOS SANTOS LIMA JUNIOR</t>
  </si>
  <si>
    <t>GORDIANO MONTEIRO</t>
  </si>
  <si>
    <t>GRIMALDO FIGUEIRA CALDEIRA</t>
  </si>
  <si>
    <t>GUILHERME DE MELLO HERNANDEZ</t>
  </si>
  <si>
    <t>GUSTAVO DE NOVAES CANARIO</t>
  </si>
  <si>
    <t>GUSTAVO RIBEIRO FERNANDES</t>
  </si>
  <si>
    <t>HELIANO PACHECO CHERIGATE</t>
  </si>
  <si>
    <t>IURA DA SILVA SANTOS</t>
  </si>
  <si>
    <t>JEFFERSON LEMOS RIBEIRO</t>
  </si>
  <si>
    <t>JOEL BASTOS FREITAS</t>
  </si>
  <si>
    <t>JOILSON TIMOTEO VICENTE</t>
  </si>
  <si>
    <t>JORGE ARTUR MIGUEL DA SILVA</t>
  </si>
  <si>
    <t>JORGE CORREIA</t>
  </si>
  <si>
    <t>SOLDADOR/WELDER</t>
  </si>
  <si>
    <t>JOSE CARLOS HENRIQUES DA CRUZ</t>
  </si>
  <si>
    <t>JOSE CLAUDIO DOS SANTOS SOUZA</t>
  </si>
  <si>
    <t>JOSE OSWALDO CANDIDO DE SOUZA NETTO</t>
  </si>
  <si>
    <t>JOSE ROBERTO SANTANA OLIVEIRA</t>
  </si>
  <si>
    <t>JOSE THEODORO TEIXEIRA</t>
  </si>
  <si>
    <t>JOSEILSON AUGUSTO DA ANUNCIACAO</t>
  </si>
  <si>
    <t>JULIO CESAR BARRETO DE FARIA</t>
  </si>
  <si>
    <t>JUNIOR DA COSTA TAVARES</t>
  </si>
  <si>
    <t>KLEBER ABREU NUNES</t>
  </si>
  <si>
    <t>LEANDRO BARRETO ALVES</t>
  </si>
  <si>
    <t>LEONARDO RODRIGUES DA SILVA ELIAS</t>
  </si>
  <si>
    <t>LUCAS DE ABREU GAMBARO</t>
  </si>
  <si>
    <t>LUCAS DO NASCIMENTO SANCHES MARTINS</t>
  </si>
  <si>
    <t>LUCIANO DE AZEREDO MONTEIRO</t>
  </si>
  <si>
    <t>LUIS CLAUDIO ALMEIDA DE SOUZA</t>
  </si>
  <si>
    <t>LUIZ CARLOS DE OLIVEIRA SIQUEIRA JUNIOR</t>
  </si>
  <si>
    <t>LUIZ CARLOS OLIVEIRA SIQUEIRA JUNIOR</t>
  </si>
  <si>
    <t>LUIZ CARLOS SILVEIRA DE PAIVA</t>
  </si>
  <si>
    <t>MAICON BARCELOS DO DESTERRO</t>
  </si>
  <si>
    <t>MARCELLO DUTRA ROCHA</t>
  </si>
  <si>
    <t>MARCELO TOSTA FERREIRA</t>
  </si>
  <si>
    <t>MARCOS ESTEVES DA SILVA</t>
  </si>
  <si>
    <t>MARLON ELDER DE OLIVEIRA NASCIMENTO</t>
  </si>
  <si>
    <t>MAYCON LANUNCE PAES</t>
  </si>
  <si>
    <t>MESSIAS DOS SANTOS QUARESMA</t>
  </si>
  <si>
    <t>MICHEL VINICIUS DE SANTANA NACIF</t>
  </si>
  <si>
    <t>NATACHA MARTINS DA SILVA</t>
  </si>
  <si>
    <t>NELIO DA SILVA PIRES</t>
  </si>
  <si>
    <t>NELIO DOMINGUES DE FIGUEIREDO</t>
  </si>
  <si>
    <t>NERCILIANDER MARTINS DA CUNHA</t>
  </si>
  <si>
    <t>NIDIVALDO ANTONIO DA SILVA</t>
  </si>
  <si>
    <t>PATRICIA DE ARAUJO DOS SANTOS</t>
  </si>
  <si>
    <t>PAULO DOS SANTOS ROBERTO JUNIOR</t>
  </si>
  <si>
    <t>PAULO ROBERTO DE JESUS SILVA</t>
  </si>
  <si>
    <t>PEDRO VINICIUS SALLES MARTINS DE OLIVEIRA</t>
  </si>
  <si>
    <t>RAFAEL ALVES DE LIMA</t>
  </si>
  <si>
    <t>RAFAEL SIMOES AZEREDO GONCALVES</t>
  </si>
  <si>
    <t>REINALDO DE SIQUEIRA FERREIRA</t>
  </si>
  <si>
    <t>RENAN BATISTA GOMES</t>
  </si>
  <si>
    <t>RENATO MACHADO</t>
  </si>
  <si>
    <t>RENATO XAVIER DOS SANTOS GOMES</t>
  </si>
  <si>
    <t>RODOLFO NOGUEIRA BERNACCHI</t>
  </si>
  <si>
    <t>RODRIGO LINHARES DA SILVA</t>
  </si>
  <si>
    <t>TEC SEG TRAB</t>
  </si>
  <si>
    <t>ROMERIO DA FONSECA FREITAS</t>
  </si>
  <si>
    <t>ROMERSON DE JESUS GOMES</t>
  </si>
  <si>
    <t>ROMULO AMORIM ROCHA</t>
  </si>
  <si>
    <t>RONILSON SANTOS DA SILVA</t>
  </si>
  <si>
    <t>SAULO VICENTE DIAS</t>
  </si>
  <si>
    <t>SEMIRO DIMAS VICENTE</t>
  </si>
  <si>
    <t>SERGIO DO NASCIMENTO SANTOS</t>
  </si>
  <si>
    <t>SERGIO FERREIRA DA SILVA JUNIOR</t>
  </si>
  <si>
    <t>SERGIO LUIS PEREIRA DA SILVA</t>
  </si>
  <si>
    <t>SERGIO TARGINO DA SILVA</t>
  </si>
  <si>
    <t>SIDNEY DE OLIVEIRA MACEDO</t>
  </si>
  <si>
    <t>SILVANDERSON BISPO DOS SANTOS</t>
  </si>
  <si>
    <t>TENISON CORREA SANTOS</t>
  </si>
  <si>
    <t>THIAGO BUZZI DIAS DE OLIVEIRA</t>
  </si>
  <si>
    <t>THIAGO LUIZ VENTAPANE DOS REIS PAZ</t>
  </si>
  <si>
    <t>THIAGO MOREIRA DA SILVA</t>
  </si>
  <si>
    <t>THYAGO CAPOBIANGO PEREIRA</t>
  </si>
  <si>
    <t>TIAGO BERTASSONI BRANDAO</t>
  </si>
  <si>
    <t>UDISON CRESPO DE SOUZA GUEDES</t>
  </si>
  <si>
    <t>VAGNER BALBINO ROSARIO</t>
  </si>
  <si>
    <t>VAGNER GOMES DO DESTERRO</t>
  </si>
  <si>
    <t>VALTENO JOSE DOS SANTOS</t>
  </si>
  <si>
    <t>VANDERSON SILVA VIANA</t>
  </si>
  <si>
    <t>VICTOR CORDEIRO DO AMARAL</t>
  </si>
  <si>
    <t>VICTOR DA CONCEIÇÃO MARQUES</t>
  </si>
  <si>
    <t>VITOR LEITE DE SOUZA</t>
  </si>
  <si>
    <t>WEDSON DA SILVA CORREA</t>
  </si>
  <si>
    <t>WELBERT DA SILVA LEAL</t>
  </si>
  <si>
    <t>WEMERSON RIBEIRO AGRELOS</t>
  </si>
  <si>
    <t>WILSON RIVELINO DE CARVALHO</t>
  </si>
  <si>
    <t>ANA ANGÉLICA MELO LUIZA</t>
  </si>
  <si>
    <t>AUAITE CAETANO DE ANDRADE</t>
  </si>
  <si>
    <t>AUDILEX DA SILVA SOUZA</t>
  </si>
  <si>
    <t>BEATRIZ COVRE FARIA</t>
  </si>
  <si>
    <t>BRUNO DO ROSÁRIO MACHADO</t>
  </si>
  <si>
    <t>CARLOS ALBERTO DA SILVA AZEVEDO</t>
  </si>
  <si>
    <t>CARLOS EDUARDO SOUZA DOS SANTOS</t>
  </si>
  <si>
    <t xml:space="preserve">CARLOS GOMES PINTO DE FARIAS SOARES  </t>
  </si>
  <si>
    <t>CRISTIANO SILVA DO ROSÁRIO</t>
  </si>
  <si>
    <t>DANIEL DE OLIVEIRA BARROSO</t>
  </si>
  <si>
    <t>DOWGLAS SILVA FARIA</t>
  </si>
  <si>
    <t>DYLSON ALMEIDA MOTTA NETO</t>
  </si>
  <si>
    <t>EDILBERTO RODRIGUES CODEÇO</t>
  </si>
  <si>
    <t>EDILSON ALVARENGA GARCIA</t>
  </si>
  <si>
    <t>ELIOMÁRIO DE CASTRO FERREIRA</t>
  </si>
  <si>
    <t>EUGÊNIO VALENTIM MARIANO</t>
  </si>
  <si>
    <t>FELIPE FARIA DE SOUZA</t>
  </si>
  <si>
    <t>HEVERTON SILVA LEITE</t>
  </si>
  <si>
    <t>HIGO BARBOZA FARIA</t>
  </si>
  <si>
    <t>HUGO ANDRADE DE SOUZA SILVA</t>
  </si>
  <si>
    <t>JOÃO VICTOR SANTOS MENDES</t>
  </si>
  <si>
    <t>JOSÉ FRANCISCO RIBEIRO NOGUEIRA</t>
  </si>
  <si>
    <t>LUIZ HENRIQUE PESSANHA DOS SANTOS</t>
  </si>
  <si>
    <t>MATEUS DA SILVA MACHADO</t>
  </si>
  <si>
    <t>MAXMILLER RIBEIRO DIAS BARCELOS</t>
  </si>
  <si>
    <t>PABLO DE SOUZA VENTURA DOS SANTOS</t>
  </si>
  <si>
    <t>RAPHAEL BARCELLOS SALIM FARIA</t>
  </si>
  <si>
    <t>RODRIGO FARIA DA CUNHA</t>
  </si>
  <si>
    <t>SERGIO HENRIQUE MATIAS DOS SANTOS</t>
  </si>
  <si>
    <t>WASHINGTON COUTINHO FERNANDES</t>
  </si>
  <si>
    <t>WILLIAN LEITE PESSANHA</t>
  </si>
  <si>
    <t>ANGELO ANTONIO DE OLIVEIRA PINTO</t>
  </si>
  <si>
    <t>ANTOINE PASSOS LONGCHAMPS</t>
  </si>
  <si>
    <t>DAVID ESPARRINHA PINTO</t>
  </si>
  <si>
    <t>FELIPE MATIAS LEITE DE OLIVEIRA</t>
  </si>
  <si>
    <t>JESSEN TIAGO COSTA CORREA</t>
  </si>
  <si>
    <t>JOÃO PAULO DE OLIVEIRA VILELA</t>
  </si>
  <si>
    <t>JOSÉ GERALDO LEITE JUNIOR</t>
  </si>
  <si>
    <t>LUCAS GONÇALVES MACIEL</t>
  </si>
  <si>
    <t>RODRIGO OGANE</t>
  </si>
  <si>
    <t>WANDER LUCIO CARMO</t>
  </si>
  <si>
    <t>BRYCE KENDAL REDHEAD</t>
  </si>
  <si>
    <t>ELIR DA SILVA MELO</t>
  </si>
  <si>
    <t>ERICK DUTRA SANTOS</t>
  </si>
  <si>
    <t>JUSTIN DALE MURPHY</t>
  </si>
  <si>
    <t>MATHEUS TATAGIBA PORTUGAL</t>
  </si>
  <si>
    <t>CAMERON</t>
  </si>
  <si>
    <t>ALESSANDRO TAVARES BARBOSA</t>
  </si>
  <si>
    <t>ALEX GOMES FRANCA</t>
  </si>
  <si>
    <t xml:space="preserve">CAIO ROCHA AGUIAR ARRABAL  </t>
  </si>
  <si>
    <t>DANIEL MARCELO NUNES DE OLIVEIRA</t>
  </si>
  <si>
    <t>EDUARDO HENRIQUE GONÇALVES DOS SANTOS</t>
  </si>
  <si>
    <t>FABRICIO SILVA PROENCA</t>
  </si>
  <si>
    <t>FELIPE ROCHA MACHADO</t>
  </si>
  <si>
    <t>FERNANDO KUNZLER</t>
  </si>
  <si>
    <t>JONATHAN ANDRADE MAFFRA</t>
  </si>
  <si>
    <t>JORGE CLEBER RODRIGUES DA SILVA</t>
  </si>
  <si>
    <t>JORGE LUIZ BRAGA</t>
  </si>
  <si>
    <t>LAUCENIR TRIANI DA CRUZ</t>
  </si>
  <si>
    <t>LEONARDO FERNANDES LOPES DE CASTRO</t>
  </si>
  <si>
    <t>MAURÍCIO MORAES DO VALLE TÔRRES</t>
  </si>
  <si>
    <t>NELSON DOS SANTOS PEREIRA</t>
  </si>
  <si>
    <t>OTAVIO DA SILVA SANTOS</t>
  </si>
  <si>
    <t>RAFAEL DE JESUS CASTRO</t>
  </si>
  <si>
    <t>ROBSON JOSE RODRIGUES</t>
  </si>
  <si>
    <t>RODOLFO ALVES DA SILVA</t>
  </si>
  <si>
    <t xml:space="preserve">RONALD BARROS  DOS SANTOS </t>
  </si>
  <si>
    <t>SAMMUEL ARTAXERXES CAMPOS SILVA</t>
  </si>
  <si>
    <t>SILAS SANTANA SILVA</t>
  </si>
  <si>
    <t>THIAGO ROSA FERNANDES</t>
  </si>
  <si>
    <t>VALDEMIR RIBEIRO LEMOS</t>
  </si>
  <si>
    <t>VINICIUS DE OLIVEIRA LEITE</t>
  </si>
  <si>
    <t>WANDERSON MARINELLI DO NASCIMENTO</t>
  </si>
  <si>
    <t>WELLINGTON VALENTIM DA SILVA</t>
  </si>
  <si>
    <t>WELTON DIAS VERNEK</t>
  </si>
  <si>
    <t>JAIME EDUARDO PINTO LIMA</t>
  </si>
  <si>
    <t>JOÃO VICTOR MARTINS BICOCK</t>
  </si>
  <si>
    <t>LUIZ FERNANDO DE NORONHA JUNIOR</t>
  </si>
  <si>
    <t>MARIANA BAHADIAN BARDY</t>
  </si>
  <si>
    <t>MIGUEL WEGLINSKI DE MIRANDA</t>
  </si>
  <si>
    <t>PATRICIA ERTHAL RIBEIRO TAVARES</t>
  </si>
  <si>
    <t>RAFAEL SILVA PEREIRA</t>
  </si>
  <si>
    <t>REINALDO KIOMI KURIYAMA</t>
  </si>
  <si>
    <t>ROBERTO ANDRADE</t>
  </si>
  <si>
    <t>THALLES VICENTE FREITAS LEMOS DOS SANTOS</t>
  </si>
  <si>
    <t>VICTOR GUILHERME DE CASTRO LINO F TAVORA</t>
  </si>
  <si>
    <t>VINÍCIUS SABINO</t>
  </si>
  <si>
    <t>ADRIANO RODRIGUES CARDOSO</t>
  </si>
  <si>
    <t>CARLOS FELIPE DA COSTA VELHO</t>
  </si>
  <si>
    <t>HUGO ROGERS DE ANDRADE</t>
  </si>
  <si>
    <t>LEANDRO DE CARVALHO GONÇALVES</t>
  </si>
  <si>
    <t>OCTACÍLIO DE SOUSA LEITE</t>
  </si>
  <si>
    <t>RAFAEL DE SOUZA SILVA</t>
  </si>
  <si>
    <t>RAFAEL HENRIQUES MAGALHÃES</t>
  </si>
  <si>
    <t>UBIRAJARA DE SOUZA JUNIOR</t>
  </si>
  <si>
    <t>UILLIAN MORAIS EMIDIO</t>
  </si>
  <si>
    <t>DECK E CABINE</t>
  </si>
  <si>
    <t>E - 601</t>
  </si>
  <si>
    <t>E - 603</t>
  </si>
  <si>
    <t>E - 605</t>
  </si>
  <si>
    <t>E - 607</t>
  </si>
  <si>
    <t>E - 609</t>
  </si>
  <si>
    <t>E - 611</t>
  </si>
  <si>
    <t>E - 613</t>
  </si>
  <si>
    <t>E - 615</t>
  </si>
  <si>
    <t>E - 634</t>
  </si>
  <si>
    <t>E - 636</t>
  </si>
  <si>
    <t>E - 638</t>
  </si>
  <si>
    <t>E - 640</t>
  </si>
  <si>
    <t>E - 618A</t>
  </si>
  <si>
    <t>E - 618B</t>
  </si>
  <si>
    <t>E - 620A</t>
  </si>
  <si>
    <t>E - 620B</t>
  </si>
  <si>
    <t>E - 622A</t>
  </si>
  <si>
    <t>E - 622B</t>
  </si>
  <si>
    <t>E - 624A</t>
  </si>
  <si>
    <t>E - 624B</t>
  </si>
  <si>
    <t>E - 626A</t>
  </si>
  <si>
    <t>E - 626B</t>
  </si>
  <si>
    <t>E - 632A</t>
  </si>
  <si>
    <t>E - 632B</t>
  </si>
  <si>
    <t>B - 301A</t>
  </si>
  <si>
    <t>B - 301B</t>
  </si>
  <si>
    <t>B - 303A</t>
  </si>
  <si>
    <t>B - 303B</t>
  </si>
  <si>
    <t>B - 305B</t>
  </si>
  <si>
    <t>B - 307A</t>
  </si>
  <si>
    <t>B - 307B</t>
  </si>
  <si>
    <t>B - 309A</t>
  </si>
  <si>
    <t>B - 309B</t>
  </si>
  <si>
    <t>B - 311A</t>
  </si>
  <si>
    <t>B - 311B</t>
  </si>
  <si>
    <t>B - 313A</t>
  </si>
  <si>
    <t>B - 313B</t>
  </si>
  <si>
    <t>B - 315A</t>
  </si>
  <si>
    <t>B - 315B</t>
  </si>
  <si>
    <t>B - 318A</t>
  </si>
  <si>
    <t>B - 318B</t>
  </si>
  <si>
    <t>B - 320A</t>
  </si>
  <si>
    <t>B - 320B</t>
  </si>
  <si>
    <t>B - 322B</t>
  </si>
  <si>
    <t>B - 324A</t>
  </si>
  <si>
    <t>B - 324B</t>
  </si>
  <si>
    <t>B - 326A</t>
  </si>
  <si>
    <t>B - 326B</t>
  </si>
  <si>
    <t>B - 329A</t>
  </si>
  <si>
    <t>B - 329B</t>
  </si>
  <si>
    <t>B - 331A</t>
  </si>
  <si>
    <t>B - 331B</t>
  </si>
  <si>
    <t>B - 333A</t>
  </si>
  <si>
    <t>B - 333B</t>
  </si>
  <si>
    <t>B - 335A</t>
  </si>
  <si>
    <t>B - 335B</t>
  </si>
  <si>
    <t>B - 338A</t>
  </si>
  <si>
    <t>B - 338B</t>
  </si>
  <si>
    <t>B - 340A</t>
  </si>
  <si>
    <t>B - 340B</t>
  </si>
  <si>
    <t>B - 342A</t>
  </si>
  <si>
    <t>B - 344A</t>
  </si>
  <si>
    <t>B - 344B</t>
  </si>
  <si>
    <t>B - 346A</t>
  </si>
  <si>
    <t>B - 346B</t>
  </si>
  <si>
    <t>B - 349A</t>
  </si>
  <si>
    <t>B - 349B</t>
  </si>
  <si>
    <t>B - 351A</t>
  </si>
  <si>
    <t>B - 351B</t>
  </si>
  <si>
    <t>B - 353A</t>
  </si>
  <si>
    <t>B - 353B</t>
  </si>
  <si>
    <t>B - 355A</t>
  </si>
  <si>
    <t>B - 355B</t>
  </si>
  <si>
    <t>C - 401A</t>
  </si>
  <si>
    <t>C - 401B</t>
  </si>
  <si>
    <t>C - 403A</t>
  </si>
  <si>
    <t>C - 403B</t>
  </si>
  <si>
    <t>C - 405B</t>
  </si>
  <si>
    <t>C - 407A</t>
  </si>
  <si>
    <t>C - 407B</t>
  </si>
  <si>
    <t>C - 409A</t>
  </si>
  <si>
    <t>C - 409B</t>
  </si>
  <si>
    <t>C - 411A</t>
  </si>
  <si>
    <t>C - 411B</t>
  </si>
  <si>
    <t>C - 413A</t>
  </si>
  <si>
    <t>C - 413B</t>
  </si>
  <si>
    <t>C - 415A</t>
  </si>
  <si>
    <t>C - 415B</t>
  </si>
  <si>
    <t>C - 418A</t>
  </si>
  <si>
    <t>C - 418B</t>
  </si>
  <si>
    <t>C - 420A</t>
  </si>
  <si>
    <t>C - 420B</t>
  </si>
  <si>
    <t>C - 422B</t>
  </si>
  <si>
    <t>C - 424A</t>
  </si>
  <si>
    <t>C - 426A</t>
  </si>
  <si>
    <t>C - 426B</t>
  </si>
  <si>
    <t>C - 429A</t>
  </si>
  <si>
    <t>C - 429B</t>
  </si>
  <si>
    <t>C - 431A</t>
  </si>
  <si>
    <t>C - 431B</t>
  </si>
  <si>
    <t>C - 433A</t>
  </si>
  <si>
    <t>C - 433B</t>
  </si>
  <si>
    <t>C - 435A</t>
  </si>
  <si>
    <t>C - 438A</t>
  </si>
  <si>
    <t>C - 440A</t>
  </si>
  <si>
    <t>C - 440B</t>
  </si>
  <si>
    <t>C - 442B</t>
  </si>
  <si>
    <t>C - 444A</t>
  </si>
  <si>
    <t>C - 444B</t>
  </si>
  <si>
    <t>C - 446B</t>
  </si>
  <si>
    <t>C - 449A</t>
  </si>
  <si>
    <t>C - 449B</t>
  </si>
  <si>
    <t>C - 451A</t>
  </si>
  <si>
    <t>C - 451B</t>
  </si>
  <si>
    <t>C - 453A</t>
  </si>
  <si>
    <t>C - 453B</t>
  </si>
  <si>
    <t>C - 455A</t>
  </si>
  <si>
    <t>C - 455B</t>
  </si>
  <si>
    <t>D - 501A</t>
  </si>
  <si>
    <t>D - 503A</t>
  </si>
  <si>
    <t>D - 503B</t>
  </si>
  <si>
    <t>D - 505A</t>
  </si>
  <si>
    <t>D - 505B</t>
  </si>
  <si>
    <t>D - 507A</t>
  </si>
  <si>
    <t>D - 507B</t>
  </si>
  <si>
    <t>D - 509A</t>
  </si>
  <si>
    <t>D - 509B</t>
  </si>
  <si>
    <t>D - 511A</t>
  </si>
  <si>
    <t>D - 511B</t>
  </si>
  <si>
    <t>D - 513A</t>
  </si>
  <si>
    <t>D - 513B</t>
  </si>
  <si>
    <t>D - 515A</t>
  </si>
  <si>
    <t>D - 515B</t>
  </si>
  <si>
    <t>D - 518A</t>
  </si>
  <si>
    <t>D - 518B</t>
  </si>
  <si>
    <t>D - 520A</t>
  </si>
  <si>
    <t>D - 520B</t>
  </si>
  <si>
    <t>D - 522A</t>
  </si>
  <si>
    <t>D - 522B</t>
  </si>
  <si>
    <t>D - 524A</t>
  </si>
  <si>
    <t>D - 524B</t>
  </si>
  <si>
    <t>D - 526A</t>
  </si>
  <si>
    <t>D - 526B</t>
  </si>
  <si>
    <t>D - 529A</t>
  </si>
  <si>
    <t>D - 529B</t>
  </si>
  <si>
    <t>D - 531A</t>
  </si>
  <si>
    <t>D - 531B</t>
  </si>
  <si>
    <t>D - 533A</t>
  </si>
  <si>
    <t>D - 533B</t>
  </si>
  <si>
    <t>D - 535A</t>
  </si>
  <si>
    <t>D - 535B</t>
  </si>
  <si>
    <t>D - 538A</t>
  </si>
  <si>
    <t>D - 538B</t>
  </si>
  <si>
    <t>D - 540A</t>
  </si>
  <si>
    <t>D - 540B</t>
  </si>
  <si>
    <t>D - 542A</t>
  </si>
  <si>
    <t>D - 542B</t>
  </si>
  <si>
    <t>D - 544A</t>
  </si>
  <si>
    <t>D - 544B</t>
  </si>
  <si>
    <t>D - 546A</t>
  </si>
  <si>
    <t>D - 546B</t>
  </si>
  <si>
    <t>D - 549A</t>
  </si>
  <si>
    <t>D - 551A</t>
  </si>
  <si>
    <t>D - 551B</t>
  </si>
  <si>
    <t>D - 553A</t>
  </si>
  <si>
    <t>D - 553B</t>
  </si>
  <si>
    <t>D - 555A</t>
  </si>
  <si>
    <t>D - 555B</t>
  </si>
  <si>
    <t>TRIP</t>
  </si>
  <si>
    <t>C - 405A</t>
  </si>
  <si>
    <t>D - 549B</t>
  </si>
  <si>
    <t>C - 422A</t>
  </si>
  <si>
    <t>C - 438B</t>
  </si>
  <si>
    <t>B - 305A</t>
  </si>
  <si>
    <t>D - 501B</t>
  </si>
  <si>
    <t xml:space="preserve"> </t>
  </si>
  <si>
    <t xml:space="preserve">POB = </t>
  </si>
  <si>
    <t>EMBARQUE EFETIVADO</t>
  </si>
  <si>
    <t>Name</t>
  </si>
  <si>
    <t>Position Title</t>
  </si>
  <si>
    <t>Company</t>
  </si>
  <si>
    <t>Deck / Cabin</t>
  </si>
  <si>
    <t>VAZIO</t>
  </si>
  <si>
    <t>OCYAN-SI</t>
  </si>
  <si>
    <t>OCYAN - SPARE</t>
  </si>
  <si>
    <t>OCYAN - SPARE (FEMININO)</t>
  </si>
  <si>
    <t xml:space="preserve">PAINTER OCYAN-SI </t>
  </si>
  <si>
    <t>QUANTOS EMBARCARAM HOJE</t>
  </si>
  <si>
    <t>THIRD PART - OCYAN</t>
  </si>
  <si>
    <t>SIEMENS</t>
  </si>
  <si>
    <t>TRANSPETRO</t>
  </si>
  <si>
    <t>ADPO</t>
  </si>
  <si>
    <t>.</t>
  </si>
  <si>
    <t>TRAUME</t>
  </si>
  <si>
    <t>C - 424B</t>
  </si>
  <si>
    <t>OCYAN S.A</t>
  </si>
  <si>
    <t>BRASILEIRO</t>
  </si>
  <si>
    <t>AUXILIAR DE PLATAFORMA</t>
  </si>
  <si>
    <t>RADIO OPERADOR</t>
  </si>
  <si>
    <t>MARINE PRODUCTION</t>
  </si>
  <si>
    <t>SISPAT</t>
  </si>
  <si>
    <t>MASTER</t>
  </si>
  <si>
    <t>B - 322A</t>
  </si>
  <si>
    <t>B - 342B</t>
  </si>
  <si>
    <t>NIGHT AB SEAMAN</t>
  </si>
  <si>
    <t>CONFAB  (TENARIS)</t>
  </si>
  <si>
    <t>SUPERIOR ENERGY</t>
  </si>
  <si>
    <t>SONDADOR CYBER</t>
  </si>
  <si>
    <t>OPERADOR DE GUINDASTE</t>
  </si>
  <si>
    <t>BRASILEIRA</t>
  </si>
  <si>
    <t>ENCARREGADO DE PLATAFORMA</t>
  </si>
  <si>
    <t xml:space="preserve">QUALITECH </t>
  </si>
  <si>
    <t>ARRUMADOR (A)</t>
  </si>
  <si>
    <t>MECÂNICO</t>
  </si>
  <si>
    <t>CONFAB</t>
  </si>
  <si>
    <t>MARINHEIRO DE CONVES</t>
  </si>
  <si>
    <t>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</t>
  </si>
  <si>
    <t>SEGUNDO OFICIAL DE MAQUINAS</t>
  </si>
  <si>
    <t>CAPITÃO</t>
  </si>
  <si>
    <t>C - 442A</t>
  </si>
  <si>
    <t>C - 435B</t>
  </si>
  <si>
    <t>EQS</t>
  </si>
  <si>
    <t>MASTER-BR</t>
  </si>
  <si>
    <t>HEMOCLIN</t>
  </si>
  <si>
    <t>SSE</t>
  </si>
  <si>
    <t>MESTRE DE CABOTAGEM</t>
  </si>
  <si>
    <t>C - 446A</t>
  </si>
  <si>
    <t>SCHLUMBERGER (Ocyan)</t>
  </si>
  <si>
    <t>CAMERON (Ocyan)</t>
  </si>
  <si>
    <t>WEATHERFORD (BR)</t>
  </si>
  <si>
    <t>SMITH</t>
  </si>
  <si>
    <t>FISCAL</t>
  </si>
  <si>
    <t>WEATHERFORD (Ocyan)</t>
  </si>
  <si>
    <t>FRANKS</t>
  </si>
  <si>
    <t/>
  </si>
  <si>
    <t>(SUBSEA7)</t>
  </si>
  <si>
    <t>QUALITECH</t>
  </si>
  <si>
    <t>OPERADOR DE POSIC DINAMICO</t>
  </si>
  <si>
    <t>TECNICO DE ELETRONICA</t>
  </si>
  <si>
    <t>CIMENTADOR</t>
  </si>
  <si>
    <t>BUREAU VERITAS (BR)</t>
  </si>
  <si>
    <t>BRASILERIO</t>
  </si>
  <si>
    <t>RSTT / OST (FEMININO)</t>
  </si>
  <si>
    <t xml:space="preserve">OCYAN - SPARE </t>
  </si>
  <si>
    <t>CLIENT 3rd PARTY (FEMININO)</t>
  </si>
  <si>
    <t xml:space="preserve">RSTT / OST </t>
  </si>
  <si>
    <t>ASSISTENTE OPER DE GUINDASTE</t>
  </si>
  <si>
    <t xml:space="preserve">             DESEMBARQUE EFETIVADO</t>
  </si>
  <si>
    <t>OPERADOR DE POSIC DINAMICO SR</t>
  </si>
  <si>
    <t>FUNÇÃO EXERCIDA</t>
  </si>
  <si>
    <t>IMEDIATO</t>
  </si>
  <si>
    <t>ASSISTENTE DE TORRISTA</t>
  </si>
  <si>
    <t>FUNÇÃO ORIGINAL</t>
  </si>
  <si>
    <t>TÉCNICO DE LOGÍSTICA</t>
  </si>
  <si>
    <t>AJUDANTE DE COZINHA</t>
  </si>
  <si>
    <t>CHEFE DE ELETRICA</t>
  </si>
  <si>
    <t>TÉCNICO DE SEGURANÇA</t>
  </si>
  <si>
    <t>FISCAL DE OPERAÇÃO</t>
  </si>
  <si>
    <t>ENCARREGADO DE CONVÉS</t>
  </si>
  <si>
    <t xml:space="preserve">OIL STATES </t>
  </si>
  <si>
    <t>MAN</t>
  </si>
  <si>
    <t>CPM</t>
  </si>
  <si>
    <t>MUD LOGGER</t>
  </si>
  <si>
    <t>MARINHEIRO DE MAQUINAS</t>
  </si>
  <si>
    <t>COORD SEGURANÇA TRAB E TREIN</t>
  </si>
  <si>
    <t>GYROMARSAT</t>
  </si>
  <si>
    <t xml:space="preserve">A.REINALDO </t>
  </si>
  <si>
    <t>ALIMAK</t>
  </si>
  <si>
    <t>SUPERINTENDENTE DE PLATAFORMA</t>
  </si>
  <si>
    <t>CHEFE DE MÁQUINAS</t>
  </si>
  <si>
    <t>INSPETOR DE SOLDA JR</t>
  </si>
  <si>
    <t>SUBCHEFE DE MAQUINAS</t>
  </si>
  <si>
    <t>CPM - CLIENT 3rd PARTY</t>
  </si>
  <si>
    <t>DIRECIONAL - CLIENT 3rd PARTY</t>
  </si>
  <si>
    <t xml:space="preserve">LIFE SAFETY </t>
  </si>
  <si>
    <t>COZINHEIRO (A)</t>
  </si>
  <si>
    <t>QUÍMICA</t>
  </si>
  <si>
    <t>SOLDADOR I</t>
  </si>
  <si>
    <t>PILOTO DE ROV TRAINEE</t>
  </si>
  <si>
    <t>ENCARREGADO DE PLATAFORMA (TP)</t>
  </si>
  <si>
    <t>SUPERVISOR DE SUBSEA</t>
  </si>
  <si>
    <t>DIRECIONAL</t>
  </si>
  <si>
    <t>GE (Ocyan)</t>
  </si>
  <si>
    <t>PUC</t>
  </si>
  <si>
    <t xml:space="preserve">SOLDADOR </t>
  </si>
  <si>
    <t>FISCAL DE SONDAGEM</t>
  </si>
  <si>
    <t>SUPERVISOR DE SUBSEA SR</t>
  </si>
  <si>
    <t>SECADOR DE CASCALHO (Operador de Equipamentos Jr.)</t>
  </si>
  <si>
    <t>NEXA</t>
  </si>
  <si>
    <t>NUTRICIONISTA</t>
  </si>
  <si>
    <t>TECNICO DE ELETRICA OFF</t>
  </si>
  <si>
    <t>CHEFE DE ELETRONICA</t>
  </si>
  <si>
    <t>ENGENHEIRO OPERACIONAL OFF</t>
  </si>
  <si>
    <t xml:space="preserve">TORRISTA </t>
  </si>
  <si>
    <t>PADEIRO / CONFEITEIRO</t>
  </si>
  <si>
    <t>PAIOLEIRO</t>
  </si>
  <si>
    <t>GOVERNANCA</t>
  </si>
  <si>
    <t>MONTADOR ANDAIME PINTOR INDUST</t>
  </si>
  <si>
    <t>SUPERV DE MATERIAIS OFFSHORE</t>
  </si>
  <si>
    <t>SUPERVISOR DE MECÂNICA</t>
  </si>
  <si>
    <t>OP. CHAVE HIDRAULICA</t>
  </si>
  <si>
    <t xml:space="preserve">TORRISTA  </t>
  </si>
  <si>
    <t xml:space="preserve">ASSISTENTE DE SONDADOR </t>
  </si>
  <si>
    <t>MECÂNICO DE MÁQUINAS</t>
  </si>
  <si>
    <t>RODRIGO CORREA FIGUEIREDO</t>
  </si>
  <si>
    <t>ABYSS</t>
  </si>
  <si>
    <t>HOLANDES</t>
  </si>
  <si>
    <t>PHILIPE RODRIGUES DE OLIVEIRA</t>
  </si>
  <si>
    <t>MARLON MATOS MARQUES</t>
  </si>
  <si>
    <t>SOLDADOR CALDEIREIRO I</t>
  </si>
  <si>
    <t>TECNICO DE COLUNA</t>
  </si>
  <si>
    <t>LUDMILA DA SILVA PINHEIRO</t>
  </si>
  <si>
    <t>PILOTO DE ROV II</t>
  </si>
  <si>
    <t>IBP</t>
  </si>
  <si>
    <t>MOSVENE PEREIRA DA SILVA</t>
  </si>
  <si>
    <t>CM COUTO</t>
  </si>
  <si>
    <t>ANTONIO BONIZIOLI VIEIRA</t>
  </si>
  <si>
    <t>ASSISTENTE DE SUBSEA</t>
  </si>
  <si>
    <t xml:space="preserve">COORDENADOR DE MATERIAIS </t>
  </si>
  <si>
    <t xml:space="preserve">OPERADOR DE POSIC DINAMICO  </t>
  </si>
  <si>
    <t>ARIANE BARRETO DE SOUZA</t>
  </si>
  <si>
    <t>JEFFERSON MORAIS</t>
  </si>
  <si>
    <t>ZOZIMO ALEXANDRE MENDES DA SIL</t>
  </si>
  <si>
    <t>QUÍMICO</t>
  </si>
  <si>
    <t>ENFERMEIRO</t>
  </si>
  <si>
    <t>CLAUDIA CORREA DE OLIVEIRA</t>
  </si>
  <si>
    <t>VICTOR PARENTE BARBOSA</t>
  </si>
  <si>
    <t>SILVERIO MAIA</t>
  </si>
  <si>
    <t>LEO SANDOVAL TAVARES</t>
  </si>
  <si>
    <t>LEONARDO JOSE DE CARVALHO MOREIRA</t>
  </si>
  <si>
    <t>Antonio Jose Luckmann</t>
  </si>
  <si>
    <t>Vitoria Ferreira Vaz</t>
  </si>
  <si>
    <t>CHEFE DE MECÂNICA</t>
  </si>
  <si>
    <t>RAMON THEODORO DA COSTA</t>
  </si>
  <si>
    <t>TÉC REVESTIMENTO</t>
  </si>
  <si>
    <t>Inspetor III / Alpinista III</t>
  </si>
  <si>
    <t>NATHALIA FREIRE SILVA</t>
  </si>
  <si>
    <t xml:space="preserve">PRATICANTE DE MÁQUINAS </t>
  </si>
  <si>
    <t>LEANDRO JOSE DA SILVA</t>
  </si>
  <si>
    <t>ANILTON NASCIMENTO DE JESUS</t>
  </si>
  <si>
    <t>Soldador I / Alpinista II</t>
  </si>
  <si>
    <t>VICTOR JOSE RIBEIRO GOMES BALBI DE QUEIROZ</t>
  </si>
  <si>
    <t xml:space="preserve">OPERADOR DE GUINDASTE </t>
  </si>
  <si>
    <t>CRISTIANO RODRIGUES DA SILVA</t>
  </si>
  <si>
    <t>MINELIO GONÇALVES MOREIRA</t>
  </si>
  <si>
    <t>JEFFERSON PEREIRA DA SILVA</t>
  </si>
  <si>
    <t>RAUFE XAVIER MARCELO</t>
  </si>
  <si>
    <t>CABEÇA DE POÇO</t>
  </si>
  <si>
    <t>JONAS MIRANDA MELO</t>
  </si>
  <si>
    <t>THASSIO LEAL MARTINS RODRIGUES</t>
  </si>
  <si>
    <t>SOLDADOR / CALDEIREIRO</t>
  </si>
  <si>
    <t>EDER LUIS BARBOSA DA SILVA</t>
  </si>
  <si>
    <t>SOLDADOR II / ALPINISTA III</t>
  </si>
  <si>
    <t>ASS. DE INSPEÇÃO / IRATA I</t>
  </si>
  <si>
    <t>COORD MANUTENÇÃO</t>
  </si>
  <si>
    <t>BRITANICO</t>
  </si>
  <si>
    <t>Inspetor II / Alpinista III</t>
  </si>
  <si>
    <t>EVERTON SILVA DE MORAES   veio 335</t>
  </si>
  <si>
    <t>DANIEL FERNANDES</t>
  </si>
  <si>
    <t>GAS AVANÇADO</t>
  </si>
  <si>
    <t>TEC EQUIPAMENTOS JR</t>
  </si>
  <si>
    <t>RICARDO AZEVEDO SOARES</t>
  </si>
  <si>
    <t>LUIS FELIPE MORAES LIMA</t>
  </si>
  <si>
    <t>SALONEIRO</t>
  </si>
  <si>
    <t>PAULO SERGIO CEZAR MARTINS</t>
  </si>
  <si>
    <t>SILVESTRE BEIRAL DE LIMA</t>
  </si>
  <si>
    <t>ROBERTO NASCIMENTO DOS SANTOS  veio 518</t>
  </si>
  <si>
    <t>WAGNER MONSORES HILARIO  veio 318</t>
  </si>
  <si>
    <t>EDER SOARES TERRA</t>
  </si>
  <si>
    <t>IGOR COUTO NOVAIS</t>
  </si>
  <si>
    <t>RODRIGO CESAR BARBOSA DO NASCI</t>
  </si>
  <si>
    <t>COMANDANTE/OIM</t>
  </si>
  <si>
    <t>RUSSO</t>
  </si>
  <si>
    <t>EUCIRLEI BARROS DE CARVALHO</t>
  </si>
  <si>
    <t>AUXILIAR DE SUBSEA</t>
  </si>
  <si>
    <t>LEONARDO DA SILVA RIBEIRO</t>
  </si>
  <si>
    <t>NEIDSON DE CASSIA PAZ DE SOUZA</t>
  </si>
  <si>
    <t>FLÁVIO MOREIRA LEMOS</t>
  </si>
  <si>
    <t>SERGIO TEIXEIRA RAMALHO</t>
  </si>
  <si>
    <t>AARON CARTER CAMPBELL</t>
  </si>
  <si>
    <t>SUPERVISOR DE ELETROELETRONICA</t>
  </si>
  <si>
    <t>CANADENSE</t>
  </si>
  <si>
    <t xml:space="preserve">ANDERSON CALIXTO MACEDO </t>
  </si>
  <si>
    <t>LUIS FELIPE SILVA OLIVEIRA GOMES- veio 424</t>
  </si>
  <si>
    <t>CHARLES GLEISON ANDRADE COELHO</t>
  </si>
  <si>
    <t>ELETROTÉCNICO IV</t>
  </si>
  <si>
    <t>JONATAN COUTINHO BARCELOS</t>
  </si>
  <si>
    <t>ELETROTÉCNICO III</t>
  </si>
  <si>
    <t>FABIO SILVA DE OLIVEIRA</t>
  </si>
  <si>
    <t>DANIEL RAMOS PESSANHA DA SILVA</t>
  </si>
  <si>
    <t>JOSE HAMILTON MENDES FILHO</t>
  </si>
  <si>
    <t>VINICIUS MAUES SIRAIAMA</t>
  </si>
  <si>
    <t>CINTIA KLEIN VIEIRA ZEGHIR</t>
  </si>
  <si>
    <t>Isao Fujishima</t>
  </si>
  <si>
    <t>TIAGO BEZERRA DE SOUZA  - veio 409</t>
  </si>
  <si>
    <t>ANDRE FERREIRA DA SILVA - vai p/cama A</t>
  </si>
  <si>
    <t>FELIPE PIMENTEL RODRIGUES JUNIOR</t>
  </si>
  <si>
    <t>ASSIST. TEC. SUBSEA L</t>
  </si>
  <si>
    <t>DENIS RYAN GOMES FREITAS</t>
  </si>
  <si>
    <t>AUXILIAR DE PLATAFORMA /PLATAFORMISTA</t>
  </si>
  <si>
    <t>LUIZ FERNANDO DE OLIVEIRA</t>
  </si>
  <si>
    <t>JEHAN JOSE GONCALVES FERREIRA</t>
  </si>
  <si>
    <t>SUPERV ROV I</t>
  </si>
  <si>
    <t>GUSTAVO DE PAULA PESSOTTI</t>
  </si>
  <si>
    <t>TECNICO DE REVESTIMENTO</t>
  </si>
  <si>
    <t>MARCELO PACHECO SALLES</t>
  </si>
  <si>
    <t xml:space="preserve">CIMENTAÇÃO </t>
  </si>
  <si>
    <t>CLAYTON GIVIGI TEODORO</t>
  </si>
  <si>
    <t>THALIS CRESPO SILVA FERNANDES - veio 429</t>
  </si>
  <si>
    <t>DANILO FERREIRA DA SILVA</t>
  </si>
  <si>
    <t>FELIPPE GABRIEL PINHEIRO DE OLIVEIRA MARQUES</t>
  </si>
  <si>
    <t>ENCARREGADO DE PLATAFORMA (MPD)</t>
  </si>
  <si>
    <t>ALEX WALLACE DA SILVA PEREZ</t>
  </si>
  <si>
    <t xml:space="preserve">ADEMILTON ALVES DA SILVA </t>
  </si>
  <si>
    <t>ALEXANDRE HELON VASCONCELLOS</t>
  </si>
  <si>
    <t>BRUNO TELLES DE MIRANDA</t>
  </si>
  <si>
    <t>EDUARDO LAGRECA PACHECO</t>
  </si>
  <si>
    <t>GLEIDSON ALVES DE OLIVEIRA</t>
  </si>
  <si>
    <t>JOSE ROBERTO RANGEL DA SILVA</t>
  </si>
  <si>
    <t>LENILSON NUNES CONRADO</t>
  </si>
  <si>
    <t>LEONARDO MAIA CURVELO</t>
  </si>
  <si>
    <t>MICHAEL HUBNER</t>
  </si>
  <si>
    <t>NORBERTO DOS REIS SILVA</t>
  </si>
  <si>
    <t>VINICIUS CONCEICAO DE SOUZA</t>
  </si>
  <si>
    <t>AUXILIAR MECANICO II</t>
  </si>
  <si>
    <t>TÉCNICO MECÂNICO</t>
  </si>
  <si>
    <t>LWD</t>
  </si>
  <si>
    <t>SOLDADOR TIG/ELETRODO</t>
  </si>
  <si>
    <t>ASSISTENTE TÉCNICO EM MECÂNICA</t>
  </si>
  <si>
    <t>TEC. SUBSEA l</t>
  </si>
  <si>
    <t>ASSIST. TEC. SUBSEA l</t>
  </si>
  <si>
    <t>CORDENADOR DE MONTAGEM E COMISSIONARIO</t>
  </si>
  <si>
    <t>ASS. TEC SUBSEA 1</t>
  </si>
  <si>
    <t>SUPERVISOR SÊNIOR</t>
  </si>
  <si>
    <t>Gustavo Henrique Pereira vai veio 620</t>
  </si>
  <si>
    <t>Técnico Eletrônica III</t>
  </si>
  <si>
    <t>JOSEILSON AUGUSTO DA ANUNCIAÇÃO</t>
  </si>
  <si>
    <t>ALAN DE OLIVEIRA BELIZARIO</t>
  </si>
  <si>
    <t>ALVARO BURGHARDT</t>
  </si>
  <si>
    <t>CARLOS EDUARDO DA SILVA MATHIA</t>
  </si>
  <si>
    <t>GELLYSON JUSTO MOREIRA</t>
  </si>
  <si>
    <t>HELTON DE OLIVEIRA ROCHA</t>
  </si>
  <si>
    <t>LUCAS DE SOUZA VALERIO BARRETO</t>
  </si>
  <si>
    <t>MARCOS VINICIUS GONÇALVES PESS</t>
  </si>
  <si>
    <t>MAX VYNNER GUIMARAES MARTINS</t>
  </si>
  <si>
    <t>PEDRO PAULO RODRIGUES DE SOUZA</t>
  </si>
  <si>
    <t>RONDINELY MEDEIROS DA FONSECA</t>
  </si>
  <si>
    <t>SALVADOR LUIZ PINTO DA SILVA</t>
  </si>
  <si>
    <t>SIDNEY DA SILVA PEIXOTO</t>
  </si>
  <si>
    <t>VINICIUS FREIRE FERREIRA</t>
  </si>
  <si>
    <t>ASSISTENTE TÉCNICO SUBSEA III</t>
  </si>
  <si>
    <t>ASSISTENTE TÉCNICO SUBSEA</t>
  </si>
  <si>
    <t>ENCARREGADO DE CALDEIRARIA I</t>
  </si>
  <si>
    <t>VINICIUS DOS SANTOS RAMOS - veio 305</t>
  </si>
  <si>
    <t>DAVI MONTEIRO GUIMARÃES - veio 305</t>
  </si>
  <si>
    <t>MARCIELE VIEIRA DOS SANTOS - veio 353</t>
  </si>
  <si>
    <t>ALCIDES COSTA JUNIOR - veio 346</t>
  </si>
  <si>
    <t>MATHEUS MALTA DOS SANTOS</t>
  </si>
  <si>
    <t>ROBERTO DORIA DE SANTANA JUNIO</t>
  </si>
  <si>
    <t>FABRICIO MILHEIRO DA SILVA</t>
  </si>
  <si>
    <t>TORRISTA</t>
  </si>
  <si>
    <t>MATEUS JOSE MONTEIRO TOMAZ NET</t>
  </si>
  <si>
    <t>LEONARDO CORDEIRO DA SILVA</t>
  </si>
  <si>
    <t>CALDEIREIRO</t>
  </si>
  <si>
    <t>Bruno Rafael Borges Nino</t>
  </si>
  <si>
    <t>REVCIM</t>
  </si>
  <si>
    <t>GENECI CORREA</t>
  </si>
  <si>
    <t>Inspetor de END III</t>
  </si>
  <si>
    <t xml:space="preserve">ASSITENTE SUBSEA </t>
  </si>
  <si>
    <t>FABIO MARCOS MORAES</t>
  </si>
  <si>
    <t>PAULO ROBERTO DE SOUZA</t>
  </si>
  <si>
    <t>JACIANO FERREIRA</t>
  </si>
  <si>
    <t>DYEGO GAGO DE ASSIS RIBEIRO</t>
  </si>
  <si>
    <t>THIAGO HENRIQUE GUEDES RODRIGU</t>
  </si>
  <si>
    <t>GIOVANA LEONARDO WERDAM DO PRA</t>
  </si>
  <si>
    <t>NATHAN CRESPO DA SILVA</t>
  </si>
  <si>
    <t>SEBASTIAO DA SILVA TEMOTEO</t>
  </si>
  <si>
    <t>1/2 OFICIAL DE MECÂNICO</t>
  </si>
  <si>
    <t>MARCIO DO AMARAL AZEVEDO GREMI</t>
  </si>
  <si>
    <t>AUXILIAR TÉCNICO</t>
  </si>
  <si>
    <t>UANDERSON DE SOUZA NOGUEIRA</t>
  </si>
  <si>
    <t>DANIEL OLIVEIRA FERNANDES - veio 542</t>
  </si>
  <si>
    <t>WELLINGTON MORAIS EMIDIO</t>
  </si>
  <si>
    <t>BRUNO OUTOR MARINS</t>
  </si>
  <si>
    <t>RADIO OPERADORA</t>
  </si>
  <si>
    <t>JOÃO DANIEL DIAS DO AMARANTE F</t>
  </si>
  <si>
    <t>MAURO CAMPOS DA SILVA</t>
  </si>
  <si>
    <t>WASHINGTON FREITAS TAVARES TAR - veio 415</t>
  </si>
  <si>
    <t>CHARLES DE CASTRO</t>
  </si>
  <si>
    <t>DEOCLECIANO LOPES DA SILVA</t>
  </si>
  <si>
    <t>GABRIEL CARDOSO DIAS</t>
  </si>
  <si>
    <t>PEDRO LUIZ PINTO VIEIRA ALVES</t>
  </si>
  <si>
    <t>VINICIUS MACEDO MATTA</t>
  </si>
  <si>
    <t>ALEXSANDRO HENRIQUE SANTOS SIL</t>
  </si>
  <si>
    <t>AUGUSTO VIEIRA DE AGUIAR AMORIN veio 515</t>
  </si>
  <si>
    <t>JULIO CESAR MONTEIRO LINHARES - veio cama B</t>
  </si>
  <si>
    <t>JORGE LUIZ CHAVES MEDEIROS JUNIOR - vai 342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</si>
</sst>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6]d\-mmm\-yy;@"/>
    <numFmt numFmtId="165" formatCode="[$-416]d/mmm/yy;@"/>
    <numFmt numFmtId="166" formatCode="d/m/yy;@"/>
  </numFmts>
  <fonts count="4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26"/>
      <name val="Calibri"/>
      <family val="2"/>
      <scheme val="minor"/>
    </font>
    <font>
      <sz val="22"/>
      <name val="Calibri"/>
      <family val="2"/>
      <scheme val="minor"/>
    </font>
    <font>
      <sz val="16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name val="Calibri"/>
      <family val="2"/>
      <scheme val="minor"/>
    </font>
    <font>
      <sz val="10"/>
      <color rgb="FFFFFF00"/>
      <name val="Calibri"/>
      <family val="2"/>
      <scheme val="minor"/>
    </font>
    <font>
      <sz val="22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0"/>
      <color rgb="FF00B0F0"/>
      <name val="Calibri"/>
      <family val="2"/>
      <scheme val="minor"/>
    </font>
    <font>
      <b/>
      <sz val="12"/>
      <name val="Calibri"/>
      <family val="2"/>
      <scheme val="minor"/>
    </font>
    <font>
      <b/>
      <sz val="7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206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00FF"/>
      <name val="Calibri"/>
      <family val="2"/>
    </font>
    <font>
      <sz val="11"/>
      <color rgb="FFFF000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rgb="FF0000FF"/>
      <name val="Calibri"/>
      <family val="2"/>
    </font>
    <font>
      <b/>
      <sz val="12"/>
      <color rgb="FFC00000"/>
      <name val="Calibri"/>
      <family val="2"/>
      <scheme val="minor"/>
    </font>
    <font>
      <b/>
      <sz val="12"/>
      <color rgb="FFC00000"/>
      <name val="Calibri"/>
      <family val="2"/>
    </font>
    <font>
      <sz val="10"/>
      <color rgb="FF000000"/>
      <name val="Calibri"/>
      <family val="2"/>
    </font>
    <font>
      <b/>
      <sz val="12"/>
      <color rgb="FFFF3300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8">
    <xf numFmtId="164" fontId="0" fillId="0" borderId="0"/>
    <xf numFmtId="0" fontId="2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0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5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164" fontId="23" fillId="0" borderId="0"/>
    <xf numFmtId="0" fontId="23" fillId="0" borderId="0"/>
    <xf numFmtId="0" fontId="32" fillId="0" borderId="0"/>
    <xf numFmtId="0" fontId="32" fillId="0" borderId="0"/>
  </cellStyleXfs>
  <cellXfs count="227">
    <xf numFmtId="164" fontId="0" fillId="0" borderId="0" xfId="0"/>
    <xf numFmtId="164" fontId="5" fillId="0" borderId="0" xfId="0" applyFont="1" applyFill="1" applyBorder="1" applyAlignment="1" applyProtection="1">
      <alignment horizontal="center" vertical="center"/>
      <protection locked="0"/>
    </xf>
    <xf numFmtId="164" fontId="5" fillId="0" borderId="0" xfId="0" applyFont="1" applyFill="1" applyBorder="1" applyAlignment="1" applyProtection="1">
      <alignment horizontal="left" vertical="center"/>
      <protection locked="0"/>
    </xf>
    <xf numFmtId="164" fontId="5" fillId="0" borderId="10" xfId="0" applyFont="1" applyFill="1" applyBorder="1" applyAlignment="1" applyProtection="1">
      <alignment horizontal="center" vertical="center"/>
      <protection locked="0"/>
    </xf>
    <xf numFmtId="164" fontId="7" fillId="0" borderId="0" xfId="0" applyFont="1" applyFill="1" applyBorder="1" applyAlignment="1" applyProtection="1">
      <alignment horizontal="left" vertical="center"/>
      <protection locked="0"/>
    </xf>
    <xf numFmtId="164" fontId="7" fillId="0" borderId="10" xfId="0" applyFont="1" applyFill="1" applyBorder="1" applyAlignment="1" applyProtection="1">
      <alignment horizontal="center" vertical="center"/>
      <protection locked="0"/>
    </xf>
    <xf numFmtId="164" fontId="7" fillId="0" borderId="0" xfId="0" applyFont="1" applyFill="1" applyBorder="1" applyAlignment="1" applyProtection="1">
      <alignment horizontal="center" vertical="center"/>
      <protection locked="0"/>
    </xf>
    <xf numFmtId="0" fontId="0" fillId="0" borderId="22" xfId="0" applyNumberFormat="1" applyBorder="1" applyProtection="1">
      <protection locked="0"/>
    </xf>
    <xf numFmtId="0" fontId="0" fillId="0" borderId="24" xfId="0" applyNumberFormat="1" applyBorder="1" applyProtection="1">
      <protection locked="0"/>
    </xf>
    <xf numFmtId="0" fontId="0" fillId="0" borderId="24" xfId="0" applyNumberFormat="1" applyFill="1" applyBorder="1" applyProtection="1">
      <protection locked="0"/>
    </xf>
    <xf numFmtId="0" fontId="0" fillId="0" borderId="26" xfId="0" applyNumberFormat="1" applyBorder="1" applyProtection="1">
      <protection locked="0"/>
    </xf>
    <xf numFmtId="164" fontId="5" fillId="0" borderId="0" xfId="0" applyFont="1" applyFill="1" applyBorder="1" applyProtection="1">
      <protection locked="0"/>
    </xf>
    <xf numFmtId="0" fontId="1" fillId="0" borderId="0" xfId="0" applyNumberFormat="1" applyFont="1" applyAlignment="1" applyProtection="1">
      <alignment horizontal="center" vertical="center"/>
      <protection locked="0"/>
    </xf>
    <xf numFmtId="0" fontId="0" fillId="0" borderId="0" xfId="0" applyNumberFormat="1" applyProtection="1">
      <protection locked="0"/>
    </xf>
    <xf numFmtId="164" fontId="15" fillId="3" borderId="16" xfId="0" applyFont="1" applyFill="1" applyBorder="1" applyAlignment="1" applyProtection="1">
      <alignment horizontal="left" vertical="center"/>
      <protection locked="0"/>
    </xf>
    <xf numFmtId="164" fontId="15" fillId="3" borderId="17" xfId="0" applyFont="1" applyFill="1" applyBorder="1" applyAlignment="1" applyProtection="1">
      <alignment horizontal="left" vertical="center"/>
      <protection locked="0"/>
    </xf>
    <xf numFmtId="164" fontId="5" fillId="4" borderId="0" xfId="0" applyFont="1" applyFill="1" applyBorder="1" applyAlignment="1" applyProtection="1">
      <alignment horizontal="center" vertical="center"/>
      <protection locked="0"/>
    </xf>
    <xf numFmtId="0" fontId="8" fillId="0" borderId="0" xfId="0" applyNumberFormat="1" applyFont="1" applyProtection="1">
      <protection locked="0"/>
    </xf>
    <xf numFmtId="164" fontId="15" fillId="3" borderId="18" xfId="0" applyFont="1" applyFill="1" applyBorder="1" applyAlignment="1" applyProtection="1">
      <alignment horizontal="left" vertical="center"/>
      <protection locked="0"/>
    </xf>
    <xf numFmtId="0" fontId="13" fillId="0" borderId="0" xfId="0" applyNumberFormat="1" applyFont="1" applyFill="1" applyBorder="1" applyAlignment="1" applyProtection="1">
      <alignment vertical="center"/>
      <protection locked="0"/>
    </xf>
    <xf numFmtId="0" fontId="14" fillId="0" borderId="0" xfId="0" applyNumberFormat="1" applyFont="1" applyFill="1" applyBorder="1" applyAlignment="1" applyProtection="1">
      <alignment vertical="center"/>
      <protection locked="0"/>
    </xf>
    <xf numFmtId="0" fontId="4" fillId="3" borderId="1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Protection="1">
      <protection locked="0"/>
    </xf>
    <xf numFmtId="164" fontId="7" fillId="0" borderId="0" xfId="0" applyFont="1" applyFill="1" applyBorder="1" applyAlignment="1" applyProtection="1">
      <alignment horizontal="center" vertical="center"/>
      <protection locked="0" hidden="1"/>
    </xf>
    <xf numFmtId="164" fontId="7" fillId="0" borderId="29" xfId="0" applyFont="1" applyFill="1" applyBorder="1" applyAlignment="1" applyProtection="1">
      <alignment horizontal="center" vertical="center"/>
      <protection locked="0" hidden="1"/>
    </xf>
    <xf numFmtId="0" fontId="18" fillId="0" borderId="0" xfId="0" applyNumberFormat="1" applyFont="1" applyFill="1" applyBorder="1" applyAlignment="1" applyProtection="1">
      <alignment vertical="center"/>
      <protection locked="0"/>
    </xf>
    <xf numFmtId="164" fontId="19" fillId="0" borderId="0" xfId="0" applyFont="1" applyFill="1" applyBorder="1" applyAlignment="1" applyProtection="1">
      <alignment horizontal="center" vertical="center"/>
      <protection locked="0"/>
    </xf>
    <xf numFmtId="0" fontId="25" fillId="0" borderId="0" xfId="1" applyNumberFormat="1" applyFont="1" applyAlignment="1">
      <alignment horizontal="left" vertical="center"/>
    </xf>
    <xf numFmtId="0" fontId="25" fillId="0" borderId="0" xfId="1" applyNumberFormat="1" applyFont="1" applyAlignment="1">
      <alignment horizontal="center" vertical="center"/>
    </xf>
    <xf numFmtId="0" fontId="21" fillId="9" borderId="32" xfId="0" applyNumberFormat="1" applyFont="1" applyFill="1" applyBorder="1" applyAlignment="1" applyProtection="1">
      <alignment horizontal="center" vertical="center"/>
      <protection locked="0"/>
    </xf>
    <xf numFmtId="0" fontId="25" fillId="0" borderId="0" xfId="1" applyNumberFormat="1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20" fillId="9" borderId="32" xfId="0" applyNumberFormat="1" applyFont="1" applyFill="1" applyBorder="1" applyAlignment="1" applyProtection="1">
      <alignment horizontal="center" vertical="center" wrapText="1"/>
      <protection locked="0"/>
    </xf>
    <xf numFmtId="164" fontId="29" fillId="10" borderId="0" xfId="0" applyFont="1" applyFill="1" applyBorder="1" applyAlignment="1" applyProtection="1">
      <alignment horizontal="center" vertical="justify"/>
      <protection locked="0"/>
    </xf>
    <xf numFmtId="164" fontId="28" fillId="7" borderId="32" xfId="0" applyFont="1" applyFill="1" applyBorder="1" applyAlignment="1" applyProtection="1">
      <alignment horizontal="center" vertical="center" wrapText="1"/>
      <protection locked="0"/>
    </xf>
    <xf numFmtId="164" fontId="30" fillId="7" borderId="32" xfId="0" applyNumberFormat="1" applyFont="1" applyFill="1" applyBorder="1" applyAlignment="1" applyProtection="1">
      <alignment horizontal="center" vertical="center"/>
      <protection locked="0"/>
    </xf>
    <xf numFmtId="0" fontId="23" fillId="0" borderId="0" xfId="2" applyAlignment="1">
      <alignment horizontal="center" vertical="center"/>
    </xf>
    <xf numFmtId="0" fontId="23" fillId="0" borderId="0" xfId="2" applyBorder="1" applyAlignment="1">
      <alignment horizontal="center" vertical="center"/>
    </xf>
    <xf numFmtId="0" fontId="5" fillId="0" borderId="19" xfId="0" applyNumberFormat="1" applyFont="1" applyFill="1" applyBorder="1" applyAlignment="1" applyProtection="1">
      <alignment horizontal="center" vertical="center"/>
    </xf>
    <xf numFmtId="0" fontId="5" fillId="0" borderId="20" xfId="0" applyNumberFormat="1" applyFont="1" applyFill="1" applyBorder="1" applyAlignment="1" applyProtection="1">
      <alignment horizontal="center" vertical="center"/>
    </xf>
    <xf numFmtId="0" fontId="5" fillId="0" borderId="30" xfId="0" applyNumberFormat="1" applyFont="1" applyFill="1" applyBorder="1" applyAlignment="1" applyProtection="1">
      <alignment horizontal="center" vertical="center"/>
    </xf>
    <xf numFmtId="0" fontId="5" fillId="0" borderId="21" xfId="0" applyNumberFormat="1" applyFont="1" applyFill="1" applyBorder="1" applyAlignment="1" applyProtection="1">
      <alignment horizontal="center" vertical="center"/>
    </xf>
    <xf numFmtId="0" fontId="0" fillId="0" borderId="23" xfId="0" applyNumberFormat="1" applyBorder="1" applyAlignment="1" applyProtection="1">
      <alignment horizontal="center" vertical="center"/>
    </xf>
    <xf numFmtId="0" fontId="0" fillId="0" borderId="25" xfId="0" applyNumberFormat="1" applyBorder="1" applyAlignment="1" applyProtection="1">
      <alignment horizontal="center" vertical="center"/>
    </xf>
    <xf numFmtId="0" fontId="0" fillId="0" borderId="27" xfId="0" applyNumberFormat="1" applyBorder="1" applyAlignment="1" applyProtection="1">
      <alignment horizontal="center" vertical="center"/>
    </xf>
    <xf numFmtId="164" fontId="5" fillId="4" borderId="0" xfId="0" applyFont="1" applyFill="1" applyBorder="1" applyAlignment="1" applyProtection="1">
      <alignment horizontal="left" vertical="center"/>
    </xf>
    <xf numFmtId="164" fontId="15" fillId="3" borderId="13" xfId="0" applyFont="1" applyFill="1" applyBorder="1" applyAlignment="1" applyProtection="1">
      <alignment horizontal="left" vertical="center"/>
      <protection locked="0"/>
    </xf>
    <xf numFmtId="0" fontId="5" fillId="0" borderId="14" xfId="0" applyNumberFormat="1" applyFont="1" applyFill="1" applyBorder="1" applyAlignment="1" applyProtection="1">
      <alignment horizontal="center" vertical="center"/>
    </xf>
    <xf numFmtId="164" fontId="5" fillId="0" borderId="0" xfId="0" quotePrefix="1" applyFont="1" applyFill="1" applyBorder="1" applyAlignment="1" applyProtection="1">
      <alignment horizontal="center" vertical="center"/>
      <protection locked="0"/>
    </xf>
    <xf numFmtId="0" fontId="16" fillId="7" borderId="33" xfId="0" applyNumberFormat="1" applyFont="1" applyFill="1" applyBorder="1" applyAlignment="1" applyProtection="1">
      <alignment horizontal="center" vertical="center"/>
    </xf>
    <xf numFmtId="0" fontId="20" fillId="11" borderId="28" xfId="2" applyFont="1" applyFill="1" applyBorder="1" applyAlignment="1">
      <alignment horizontal="center" vertical="center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64" fontId="17" fillId="2" borderId="0" xfId="0" applyFont="1" applyFill="1" applyBorder="1" applyAlignment="1" applyProtection="1">
      <alignment horizontal="center" vertical="center"/>
      <protection locked="0"/>
    </xf>
    <xf numFmtId="164" fontId="17" fillId="2" borderId="10" xfId="0" applyFont="1" applyFill="1" applyBorder="1" applyAlignment="1" applyProtection="1">
      <alignment horizontal="center" vertical="center"/>
      <protection locked="0"/>
    </xf>
    <xf numFmtId="164" fontId="9" fillId="2" borderId="1" xfId="0" applyFont="1" applyFill="1" applyBorder="1" applyAlignment="1" applyProtection="1">
      <alignment horizontal="center" vertical="center" wrapText="1"/>
      <protection locked="0"/>
    </xf>
    <xf numFmtId="164" fontId="9" fillId="2" borderId="10" xfId="0" applyFont="1" applyFill="1" applyBorder="1" applyAlignment="1" applyProtection="1">
      <alignment horizontal="center" vertical="center"/>
      <protection locked="0"/>
    </xf>
    <xf numFmtId="164" fontId="9" fillId="2" borderId="0" xfId="0" applyFont="1" applyFill="1" applyBorder="1" applyAlignment="1" applyProtection="1">
      <alignment horizontal="center" vertical="center"/>
      <protection locked="0"/>
    </xf>
    <xf numFmtId="164" fontId="9" fillId="2" borderId="10" xfId="0" applyFont="1" applyFill="1" applyBorder="1" applyAlignment="1" applyProtection="1">
      <alignment horizontal="center" vertical="center" wrapText="1"/>
      <protection locked="0"/>
    </xf>
    <xf numFmtId="1" fontId="5" fillId="0" borderId="33" xfId="0" applyNumberFormat="1" applyFont="1" applyFill="1" applyBorder="1" applyAlignment="1" applyProtection="1">
      <alignment horizontal="center" vertical="center"/>
      <protection hidden="1"/>
    </xf>
    <xf numFmtId="0" fontId="13" fillId="0" borderId="0" xfId="0" applyNumberFormat="1" applyFont="1" applyFill="1" applyBorder="1" applyAlignment="1" applyProtection="1">
      <alignment horizontal="center" vertical="center"/>
    </xf>
    <xf numFmtId="164" fontId="22" fillId="0" borderId="0" xfId="0" applyFont="1" applyFill="1" applyBorder="1" applyAlignment="1" applyProtection="1">
      <alignment horizontal="center" vertical="center"/>
      <protection locked="0"/>
    </xf>
    <xf numFmtId="164" fontId="17" fillId="2" borderId="1" xfId="0" applyFont="1" applyFill="1" applyBorder="1" applyAlignment="1" applyProtection="1">
      <alignment horizontal="center" vertical="center"/>
      <protection locked="0"/>
    </xf>
    <xf numFmtId="0" fontId="34" fillId="3" borderId="14" xfId="0" applyNumberFormat="1" applyFont="1" applyFill="1" applyBorder="1" applyAlignment="1" applyProtection="1">
      <alignment horizontal="center" vertical="center"/>
    </xf>
    <xf numFmtId="164" fontId="33" fillId="0" borderId="0" xfId="0" applyFont="1" applyFill="1" applyBorder="1" applyAlignment="1" applyProtection="1">
      <alignment horizontal="left" vertical="center"/>
      <protection locked="0"/>
    </xf>
    <xf numFmtId="164" fontId="33" fillId="0" borderId="10" xfId="0" applyFont="1" applyFill="1" applyBorder="1" applyAlignment="1" applyProtection="1">
      <alignment horizontal="center" vertical="center"/>
      <protection locked="0"/>
    </xf>
    <xf numFmtId="164" fontId="7" fillId="0" borderId="0" xfId="0" applyFont="1" applyFill="1" applyBorder="1" applyAlignment="1" applyProtection="1">
      <alignment horizontal="center" vertical="center"/>
      <protection hidden="1"/>
    </xf>
    <xf numFmtId="164" fontId="22" fillId="0" borderId="0" xfId="0" applyFont="1" applyFill="1" applyBorder="1" applyAlignment="1" applyProtection="1">
      <alignment horizontal="left" vertical="center"/>
      <protection locked="0"/>
    </xf>
    <xf numFmtId="164" fontId="10" fillId="0" borderId="0" xfId="0" applyFont="1" applyFill="1" applyBorder="1" applyAlignment="1" applyProtection="1">
      <alignment horizontal="left" vertical="center"/>
      <protection locked="0"/>
    </xf>
    <xf numFmtId="164" fontId="10" fillId="0" borderId="10" xfId="0" applyFont="1" applyFill="1" applyBorder="1" applyAlignment="1" applyProtection="1">
      <alignment horizontal="center" vertical="center"/>
      <protection locked="0"/>
    </xf>
    <xf numFmtId="164" fontId="22" fillId="0" borderId="10" xfId="0" applyFont="1" applyFill="1" applyBorder="1" applyAlignment="1" applyProtection="1">
      <alignment horizontal="center" vertical="center"/>
      <protection locked="0"/>
    </xf>
    <xf numFmtId="0" fontId="22" fillId="0" borderId="10" xfId="0" applyNumberFormat="1" applyFont="1" applyFill="1" applyBorder="1" applyAlignment="1" applyProtection="1">
      <alignment horizontal="center" vertical="center"/>
      <protection hidden="1"/>
    </xf>
    <xf numFmtId="164" fontId="22" fillId="0" borderId="0" xfId="0" applyFont="1" applyFill="1" applyBorder="1" applyAlignment="1" applyProtection="1">
      <alignment horizontal="center" vertical="center"/>
      <protection locked="0" hidden="1"/>
    </xf>
    <xf numFmtId="164" fontId="22" fillId="0" borderId="29" xfId="0" applyFont="1" applyFill="1" applyBorder="1" applyAlignment="1" applyProtection="1">
      <alignment horizontal="center" vertical="center"/>
      <protection locked="0" hidden="1"/>
    </xf>
    <xf numFmtId="164" fontId="37" fillId="0" borderId="0" xfId="0" applyFont="1"/>
    <xf numFmtId="164" fontId="5" fillId="0" borderId="1" xfId="0" applyFont="1" applyFill="1" applyBorder="1" applyAlignment="1" applyProtection="1">
      <alignment horizontal="left" vertical="center"/>
      <protection locked="0"/>
    </xf>
    <xf numFmtId="164" fontId="5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1" xfId="0" applyNumberFormat="1" applyFont="1" applyFill="1" applyBorder="1" applyAlignment="1" applyProtection="1">
      <alignment horizontal="left" vertical="center"/>
      <protection locked="0"/>
    </xf>
    <xf numFmtId="164" fontId="33" fillId="0" borderId="1" xfId="0" applyNumberFormat="1" applyFont="1" applyFill="1" applyBorder="1" applyAlignment="1" applyProtection="1">
      <alignment horizontal="left" vertical="center"/>
      <protection locked="0"/>
    </xf>
    <xf numFmtId="164" fontId="22" fillId="0" borderId="1" xfId="0" applyNumberFormat="1" applyFont="1" applyFill="1" applyBorder="1" applyAlignment="1" applyProtection="1">
      <alignment horizontal="left" vertical="center"/>
      <protection locked="0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164" fontId="5" fillId="0" borderId="33" xfId="0" applyFont="1" applyFill="1" applyBorder="1" applyAlignment="1" applyProtection="1">
      <alignment horizontal="center" vertical="center"/>
      <protection locked="0"/>
    </xf>
    <xf numFmtId="0" fontId="23" fillId="0" borderId="0" xfId="2" applyBorder="1" applyAlignment="1">
      <alignment horizontal="left" vertical="center"/>
    </xf>
    <xf numFmtId="0" fontId="23" fillId="0" borderId="0" xfId="2" applyAlignment="1">
      <alignment horizontal="left" vertical="center"/>
    </xf>
    <xf numFmtId="164" fontId="36" fillId="0" borderId="35" xfId="0" applyNumberFormat="1" applyFont="1" applyFill="1" applyBorder="1" applyAlignment="1">
      <alignment horizontal="center" vertical="center"/>
    </xf>
    <xf numFmtId="0" fontId="36" fillId="0" borderId="34" xfId="2" applyNumberFormat="1" applyFont="1" applyFill="1" applyBorder="1" applyAlignment="1" applyProtection="1">
      <alignment horizontal="center" vertical="center"/>
      <protection locked="0"/>
    </xf>
    <xf numFmtId="166" fontId="5" fillId="0" borderId="0" xfId="0" applyNumberFormat="1" applyFont="1" applyFill="1" applyBorder="1" applyAlignment="1" applyProtection="1">
      <alignment horizontal="center" vertical="center"/>
      <protection locked="0"/>
    </xf>
    <xf numFmtId="166" fontId="5" fillId="7" borderId="32" xfId="0" applyNumberFormat="1" applyFont="1" applyFill="1" applyBorder="1" applyAlignment="1" applyProtection="1">
      <alignment horizontal="center" vertical="center"/>
      <protection locked="0"/>
    </xf>
    <xf numFmtId="166" fontId="17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5" fillId="0" borderId="1" xfId="0" applyNumberFormat="1" applyFont="1" applyFill="1" applyBorder="1" applyAlignment="1" applyProtection="1">
      <alignment horizontal="center" vertical="center"/>
      <protection locked="0"/>
    </xf>
    <xf numFmtId="166" fontId="7" fillId="0" borderId="1" xfId="0" applyNumberFormat="1" applyFont="1" applyFill="1" applyBorder="1" applyAlignment="1" applyProtection="1">
      <alignment horizontal="center" vertical="center"/>
      <protection locked="0"/>
    </xf>
    <xf numFmtId="166" fontId="22" fillId="0" borderId="1" xfId="0" applyNumberFormat="1" applyFont="1" applyFill="1" applyBorder="1" applyAlignment="1" applyProtection="1">
      <alignment horizontal="center" vertical="center"/>
      <protection locked="0"/>
    </xf>
    <xf numFmtId="166" fontId="0" fillId="0" borderId="22" xfId="0" applyNumberFormat="1" applyBorder="1" applyProtection="1">
      <protection locked="0"/>
    </xf>
    <xf numFmtId="166" fontId="0" fillId="0" borderId="24" xfId="0" applyNumberFormat="1" applyBorder="1" applyProtection="1">
      <protection locked="0"/>
    </xf>
    <xf numFmtId="166" fontId="0" fillId="0" borderId="24" xfId="0" applyNumberFormat="1" applyFill="1" applyBorder="1" applyProtection="1">
      <protection locked="0"/>
    </xf>
    <xf numFmtId="166" fontId="8" fillId="0" borderId="24" xfId="0" applyNumberFormat="1" applyFont="1" applyBorder="1" applyProtection="1">
      <protection locked="0"/>
    </xf>
    <xf numFmtId="166" fontId="0" fillId="0" borderId="26" xfId="0" applyNumberFormat="1" applyBorder="1" applyProtection="1">
      <protection locked="0"/>
    </xf>
    <xf numFmtId="166" fontId="4" fillId="3" borderId="15" xfId="0" applyNumberFormat="1" applyFont="1" applyFill="1" applyBorder="1" applyAlignment="1" applyProtection="1">
      <alignment horizontal="center" vertical="center"/>
      <protection locked="0"/>
    </xf>
    <xf numFmtId="164" fontId="39" fillId="0" borderId="0" xfId="0" applyFont="1"/>
    <xf numFmtId="164" fontId="36" fillId="0" borderId="35" xfId="0" applyFont="1" applyBorder="1" applyAlignment="1">
      <alignment horizontal="center" vertical="center"/>
    </xf>
    <xf numFmtId="164" fontId="36" fillId="0" borderId="35" xfId="0" applyFont="1" applyFill="1" applyBorder="1" applyAlignment="1">
      <alignment horizontal="left" vertical="center"/>
    </xf>
    <xf numFmtId="164" fontId="40" fillId="0" borderId="35" xfId="0" applyNumberFormat="1" applyFont="1" applyFill="1" applyBorder="1" applyAlignment="1">
      <alignment horizontal="center" vertical="center"/>
    </xf>
    <xf numFmtId="164" fontId="40" fillId="0" borderId="35" xfId="0" applyNumberFormat="1" applyFont="1" applyFill="1" applyBorder="1" applyAlignment="1">
      <alignment horizontal="left" vertical="center"/>
    </xf>
    <xf numFmtId="0" fontId="41" fillId="0" borderId="34" xfId="0" applyNumberFormat="1" applyFont="1" applyFill="1" applyBorder="1" applyAlignment="1">
      <alignment horizontal="center" vertical="center"/>
    </xf>
    <xf numFmtId="164" fontId="10" fillId="0" borderId="0" xfId="0" applyFont="1" applyFill="1" applyAlignment="1" applyProtection="1">
      <alignment horizontal="left" vertical="center"/>
      <protection locked="0"/>
    </xf>
    <xf numFmtId="164" fontId="5" fillId="0" borderId="31" xfId="0" applyFont="1" applyFill="1" applyBorder="1" applyAlignment="1" applyProtection="1">
      <alignment horizontal="left" vertical="center"/>
      <protection locked="0"/>
    </xf>
    <xf numFmtId="164" fontId="7" fillId="0" borderId="1" xfId="0" applyFont="1" applyFill="1" applyBorder="1" applyAlignment="1" applyProtection="1">
      <alignment horizontal="left" vertical="center"/>
      <protection locked="0"/>
    </xf>
    <xf numFmtId="164" fontId="5" fillId="0" borderId="32" xfId="0" applyFont="1" applyFill="1" applyBorder="1" applyAlignment="1" applyProtection="1">
      <alignment horizontal="left" vertical="center"/>
      <protection locked="0"/>
    </xf>
    <xf numFmtId="164" fontId="7" fillId="0" borderId="32" xfId="0" applyFont="1" applyFill="1" applyBorder="1" applyAlignment="1" applyProtection="1">
      <alignment horizontal="center" vertical="center"/>
      <protection locked="0"/>
    </xf>
    <xf numFmtId="164" fontId="7" fillId="0" borderId="32" xfId="0" applyFont="1" applyFill="1" applyBorder="1" applyAlignment="1" applyProtection="1">
      <alignment horizontal="center" vertical="center"/>
      <protection locked="0" hidden="1"/>
    </xf>
    <xf numFmtId="164" fontId="7" fillId="0" borderId="37" xfId="0" applyFont="1" applyFill="1" applyBorder="1" applyAlignment="1" applyProtection="1">
      <alignment horizontal="center" vertical="center"/>
      <protection locked="0" hidden="1"/>
    </xf>
    <xf numFmtId="166" fontId="7" fillId="0" borderId="31" xfId="0" applyNumberFormat="1" applyFont="1" applyFill="1" applyBorder="1" applyAlignment="1" applyProtection="1">
      <alignment horizontal="center" vertical="center"/>
      <protection locked="0"/>
    </xf>
    <xf numFmtId="164" fontId="36" fillId="0" borderId="35" xfId="0" applyFont="1" applyBorder="1" applyAlignment="1">
      <alignment horizontal="left" vertical="center"/>
    </xf>
    <xf numFmtId="164" fontId="38" fillId="0" borderId="35" xfId="0" applyFont="1" applyBorder="1" applyAlignment="1">
      <alignment horizontal="left" vertical="center"/>
    </xf>
    <xf numFmtId="164" fontId="10" fillId="0" borderId="0" xfId="0" applyFont="1" applyFill="1" applyAlignment="1" applyProtection="1">
      <alignment horizontal="center" vertical="center"/>
      <protection locked="0"/>
    </xf>
    <xf numFmtId="164" fontId="33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164" fontId="42" fillId="0" borderId="35" xfId="0" applyNumberFormat="1" applyFont="1" applyFill="1" applyBorder="1" applyAlignment="1">
      <alignment horizontal="center" vertical="center"/>
    </xf>
    <xf numFmtId="164" fontId="42" fillId="0" borderId="35" xfId="0" applyNumberFormat="1" applyFont="1" applyFill="1" applyBorder="1" applyAlignment="1">
      <alignment horizontal="left" vertical="center"/>
    </xf>
    <xf numFmtId="0" fontId="43" fillId="0" borderId="35" xfId="0" applyNumberFormat="1" applyFont="1" applyFill="1" applyBorder="1" applyAlignment="1">
      <alignment horizontal="center" vertical="center"/>
    </xf>
    <xf numFmtId="0" fontId="42" fillId="0" borderId="34" xfId="0" applyNumberFormat="1" applyFont="1" applyFill="1" applyBorder="1" applyAlignment="1">
      <alignment horizontal="left" vertical="center"/>
    </xf>
    <xf numFmtId="164" fontId="40" fillId="0" borderId="35" xfId="0" applyNumberFormat="1" applyFont="1" applyFill="1" applyBorder="1" applyAlignment="1">
      <alignment horizontal="center" vertical="center" wrapText="1"/>
    </xf>
    <xf numFmtId="164" fontId="42" fillId="0" borderId="34" xfId="0" applyNumberFormat="1" applyFont="1" applyFill="1" applyBorder="1" applyAlignment="1">
      <alignment horizontal="left" vertical="center"/>
    </xf>
    <xf numFmtId="164" fontId="42" fillId="0" borderId="35" xfId="0" applyFont="1" applyFill="1" applyBorder="1" applyAlignment="1">
      <alignment horizontal="center" vertical="center"/>
    </xf>
    <xf numFmtId="164" fontId="45" fillId="0" borderId="35" xfId="0" applyNumberFormat="1" applyFont="1" applyFill="1" applyBorder="1" applyAlignment="1">
      <alignment horizontal="left" vertical="center"/>
    </xf>
    <xf numFmtId="164" fontId="45" fillId="0" borderId="35" xfId="0" applyNumberFormat="1" applyFont="1" applyFill="1" applyBorder="1" applyAlignment="1">
      <alignment horizontal="center" vertical="center"/>
    </xf>
    <xf numFmtId="164" fontId="42" fillId="0" borderId="35" xfId="0" applyNumberFormat="1" applyFont="1" applyFill="1" applyBorder="1" applyAlignment="1">
      <alignment horizontal="left" vertical="center" wrapText="1"/>
    </xf>
    <xf numFmtId="0" fontId="42" fillId="0" borderId="35" xfId="0" applyNumberFormat="1" applyFont="1" applyFill="1" applyBorder="1" applyAlignment="1">
      <alignment horizontal="left" vertical="center"/>
    </xf>
    <xf numFmtId="0" fontId="42" fillId="0" borderId="35" xfId="0" applyNumberFormat="1" applyFont="1" applyFill="1" applyBorder="1" applyAlignment="1">
      <alignment horizontal="center" vertical="center"/>
    </xf>
    <xf numFmtId="0" fontId="43" fillId="0" borderId="34" xfId="0" applyNumberFormat="1" applyFont="1" applyFill="1" applyBorder="1" applyAlignment="1">
      <alignment horizontal="center" vertical="center"/>
    </xf>
    <xf numFmtId="164" fontId="5" fillId="0" borderId="0" xfId="0" applyFont="1" applyFill="1" applyBorder="1" applyAlignment="1" applyProtection="1">
      <alignment horizontal="center" vertical="center"/>
      <protection locked="0"/>
    </xf>
    <xf numFmtId="164" fontId="5" fillId="0" borderId="0" xfId="0" applyFont="1" applyFill="1" applyBorder="1" applyAlignment="1" applyProtection="1">
      <alignment horizontal="left" vertical="center"/>
      <protection locked="0"/>
    </xf>
    <xf numFmtId="164" fontId="5" fillId="0" borderId="10" xfId="0" applyFont="1" applyFill="1" applyBorder="1" applyAlignment="1" applyProtection="1">
      <alignment horizontal="center" vertical="center"/>
      <protection locked="0"/>
    </xf>
    <xf numFmtId="164" fontId="10" fillId="5" borderId="0" xfId="0" applyFont="1" applyFill="1" applyBorder="1" applyAlignment="1" applyProtection="1">
      <alignment horizontal="left" vertical="center"/>
      <protection locked="0"/>
    </xf>
    <xf numFmtId="164" fontId="10" fillId="5" borderId="10" xfId="0" applyFont="1" applyFill="1" applyBorder="1" applyAlignment="1" applyProtection="1">
      <alignment horizontal="center" vertical="center"/>
      <protection locked="0"/>
    </xf>
    <xf numFmtId="164" fontId="10" fillId="5" borderId="0" xfId="0" applyFont="1" applyFill="1" applyBorder="1" applyAlignment="1" applyProtection="1">
      <alignment horizontal="center" vertical="center"/>
      <protection locked="0"/>
    </xf>
    <xf numFmtId="164" fontId="10" fillId="5" borderId="0" xfId="0" applyNumberFormat="1" applyFont="1" applyFill="1" applyBorder="1" applyAlignment="1" applyProtection="1">
      <alignment horizontal="left" vertical="center" wrapText="1"/>
      <protection locked="0"/>
    </xf>
    <xf numFmtId="164" fontId="10" fillId="5" borderId="0" xfId="0" applyFont="1" applyFill="1" applyBorder="1" applyAlignment="1" applyProtection="1">
      <alignment horizontal="center" vertical="center"/>
      <protection locked="0" hidden="1"/>
    </xf>
    <xf numFmtId="164" fontId="5" fillId="0" borderId="0" xfId="0" applyFont="1" applyFill="1" applyBorder="1" applyAlignment="1" applyProtection="1">
      <alignment horizontal="center" vertical="center"/>
      <protection locked="0" hidden="1"/>
    </xf>
    <xf numFmtId="164" fontId="15" fillId="8" borderId="29" xfId="0" applyFont="1" applyFill="1" applyBorder="1" applyAlignment="1" applyProtection="1">
      <alignment horizontal="center" vertical="center"/>
      <protection locked="0" hidden="1"/>
    </xf>
    <xf numFmtId="164" fontId="27" fillId="9" borderId="29" xfId="0" applyFont="1" applyFill="1" applyBorder="1" applyAlignment="1" applyProtection="1">
      <alignment horizontal="center" vertical="center"/>
      <protection locked="0" hidden="1"/>
    </xf>
    <xf numFmtId="164" fontId="24" fillId="6" borderId="29" xfId="0" applyFont="1" applyFill="1" applyBorder="1" applyAlignment="1" applyProtection="1">
      <alignment horizontal="center" vertical="center"/>
      <protection locked="0" hidden="1"/>
    </xf>
    <xf numFmtId="0" fontId="5" fillId="0" borderId="10" xfId="0" applyNumberFormat="1" applyFont="1" applyFill="1" applyBorder="1" applyAlignment="1" applyProtection="1">
      <alignment horizontal="center" vertical="center"/>
      <protection hidden="1"/>
    </xf>
    <xf numFmtId="0" fontId="5" fillId="5" borderId="10" xfId="0" applyNumberFormat="1" applyFont="1" applyFill="1" applyBorder="1" applyAlignment="1" applyProtection="1">
      <alignment horizontal="center" vertical="center"/>
      <protection hidden="1"/>
    </xf>
    <xf numFmtId="0" fontId="10" fillId="5" borderId="10" xfId="0" applyNumberFormat="1" applyFont="1" applyFill="1" applyBorder="1" applyAlignment="1" applyProtection="1">
      <alignment horizontal="center" vertical="center"/>
      <protection hidden="1"/>
    </xf>
    <xf numFmtId="0" fontId="10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64" fontId="5" fillId="0" borderId="0" xfId="0" applyNumberFormat="1" applyFont="1" applyFill="1" applyBorder="1" applyAlignment="1" applyProtection="1">
      <alignment horizontal="left" vertical="center"/>
      <protection locked="0"/>
    </xf>
    <xf numFmtId="164" fontId="5" fillId="0" borderId="10" xfId="0" applyNumberFormat="1" applyFont="1" applyFill="1" applyBorder="1" applyAlignment="1" applyProtection="1">
      <alignment horizontal="center" vertical="center"/>
      <protection locked="0"/>
    </xf>
    <xf numFmtId="164" fontId="10" fillId="5" borderId="0" xfId="0" applyNumberFormat="1" applyFont="1" applyFill="1" applyBorder="1" applyAlignment="1" applyProtection="1">
      <alignment horizontal="left" vertical="center"/>
      <protection locked="0"/>
    </xf>
    <xf numFmtId="164" fontId="10" fillId="5" borderId="10" xfId="0" applyNumberFormat="1" applyFont="1" applyFill="1" applyBorder="1" applyAlignment="1" applyProtection="1">
      <alignment horizontal="center" vertical="center"/>
      <protection locked="0"/>
    </xf>
    <xf numFmtId="0" fontId="10" fillId="5" borderId="10" xfId="0" applyNumberFormat="1" applyFont="1" applyFill="1" applyBorder="1" applyAlignment="1" applyProtection="1">
      <alignment horizontal="center" vertical="center"/>
      <protection locked="0"/>
    </xf>
    <xf numFmtId="164" fontId="10" fillId="0" borderId="0" xfId="0" applyFont="1" applyFill="1" applyBorder="1" applyAlignment="1" applyProtection="1">
      <alignment horizontal="center" vertical="center"/>
      <protection locked="0" hidden="1"/>
    </xf>
    <xf numFmtId="164" fontId="10" fillId="5" borderId="0" xfId="0" applyFont="1" applyFill="1" applyAlignment="1" applyProtection="1">
      <alignment horizontal="left" vertical="center"/>
      <protection locked="0"/>
    </xf>
    <xf numFmtId="164" fontId="5" fillId="0" borderId="10" xfId="0" applyFont="1" applyBorder="1" applyAlignment="1" applyProtection="1">
      <alignment horizontal="center" vertical="center"/>
      <protection locked="0"/>
    </xf>
    <xf numFmtId="164" fontId="5" fillId="0" borderId="0" xfId="0" applyFont="1" applyFill="1" applyBorder="1" applyAlignment="1" applyProtection="1">
      <alignment horizontal="center" vertical="center"/>
      <protection hidden="1"/>
    </xf>
    <xf numFmtId="164" fontId="10" fillId="5" borderId="0" xfId="0" applyFont="1" applyFill="1" applyBorder="1" applyAlignment="1" applyProtection="1">
      <alignment horizontal="center" vertical="center"/>
      <protection hidden="1"/>
    </xf>
    <xf numFmtId="164" fontId="5" fillId="0" borderId="0" xfId="0" applyNumberFormat="1" applyFont="1" applyFill="1" applyBorder="1" applyAlignment="1" applyProtection="1">
      <alignment horizontal="center" vertical="center"/>
      <protection hidden="1"/>
    </xf>
    <xf numFmtId="0" fontId="10" fillId="5" borderId="0" xfId="0" applyNumberFormat="1" applyFont="1" applyFill="1" applyBorder="1" applyAlignment="1" applyProtection="1">
      <alignment horizontal="center" vertical="center"/>
      <protection hidden="1"/>
    </xf>
    <xf numFmtId="164" fontId="5" fillId="0" borderId="0" xfId="0" applyFont="1" applyFill="1" applyAlignment="1" applyProtection="1">
      <alignment horizontal="left" vertical="center"/>
      <protection locked="0"/>
    </xf>
    <xf numFmtId="164" fontId="5" fillId="0" borderId="0" xfId="0" applyFont="1" applyAlignment="1" applyProtection="1">
      <alignment horizontal="center" vertical="center"/>
      <protection locked="0"/>
    </xf>
    <xf numFmtId="164" fontId="10" fillId="0" borderId="0" xfId="0" applyFont="1" applyFill="1" applyBorder="1" applyAlignment="1" applyProtection="1">
      <alignment horizontal="center" vertical="center"/>
      <protection locked="0"/>
    </xf>
    <xf numFmtId="164" fontId="10" fillId="5" borderId="0" xfId="0" applyFont="1" applyFill="1" applyBorder="1" applyAlignment="1" applyProtection="1">
      <alignment horizontal="left" vertical="center" wrapText="1"/>
      <protection locked="0"/>
    </xf>
    <xf numFmtId="0" fontId="5" fillId="0" borderId="10" xfId="0" applyNumberFormat="1" applyFont="1" applyBorder="1" applyAlignment="1" applyProtection="1">
      <alignment horizontal="center" vertical="center"/>
      <protection hidden="1"/>
    </xf>
    <xf numFmtId="164" fontId="5" fillId="0" borderId="0" xfId="0" applyFont="1" applyFill="1" applyAlignment="1" applyProtection="1">
      <alignment horizontal="center" vertical="center"/>
      <protection hidden="1"/>
    </xf>
    <xf numFmtId="166" fontId="5" fillId="0" borderId="0" xfId="0" applyNumberFormat="1" applyFont="1" applyFill="1" applyBorder="1" applyAlignment="1" applyProtection="1">
      <alignment horizontal="center" vertical="center"/>
      <protection locked="0"/>
    </xf>
    <xf numFmtId="166" fontId="5" fillId="0" borderId="11" xfId="0" applyNumberFormat="1" applyFont="1" applyFill="1" applyBorder="1" applyAlignment="1" applyProtection="1">
      <alignment horizontal="center" vertical="center"/>
      <protection locked="0"/>
    </xf>
    <xf numFmtId="166" fontId="5" fillId="0" borderId="1" xfId="0" applyNumberFormat="1" applyFont="1" applyFill="1" applyBorder="1" applyAlignment="1" applyProtection="1">
      <alignment horizontal="center" vertical="center"/>
      <protection locked="0"/>
    </xf>
    <xf numFmtId="0" fontId="41" fillId="0" borderId="34" xfId="0" applyNumberFormat="1" applyFont="1" applyFill="1" applyBorder="1" applyAlignment="1">
      <alignment horizontal="center" vertical="center"/>
    </xf>
    <xf numFmtId="0" fontId="41" fillId="0" borderId="35" xfId="0" applyNumberFormat="1" applyFont="1" applyFill="1" applyBorder="1" applyAlignment="1">
      <alignment horizontal="center" vertical="center"/>
    </xf>
    <xf numFmtId="1" fontId="5" fillId="0" borderId="10" xfId="0" applyNumberFormat="1" applyFont="1" applyBorder="1" applyAlignment="1" applyProtection="1">
      <alignment horizontal="center" vertical="center"/>
      <protection hidden="1"/>
    </xf>
    <xf numFmtId="1" fontId="5" fillId="0" borderId="36" xfId="0" applyNumberFormat="1" applyFont="1" applyFill="1" applyBorder="1" applyAlignment="1" applyProtection="1">
      <alignment horizontal="center" vertical="center"/>
      <protection hidden="1"/>
    </xf>
    <xf numFmtId="164" fontId="10" fillId="5" borderId="0" xfId="0" applyNumberFormat="1" applyFont="1" applyFill="1" applyBorder="1" applyAlignment="1" applyProtection="1">
      <alignment horizontal="center" vertical="center" wrapText="1"/>
      <protection locked="0"/>
    </xf>
    <xf numFmtId="164" fontId="5" fillId="0" borderId="0" xfId="0" applyFont="1" applyFill="1" applyAlignment="1" applyProtection="1">
      <alignment horizontal="center" vertical="center"/>
      <protection locked="0"/>
    </xf>
    <xf numFmtId="164" fontId="5" fillId="0" borderId="0" xfId="0" applyNumberFormat="1" applyFont="1" applyFill="1" applyBorder="1" applyAlignment="1" applyProtection="1">
      <alignment horizontal="center" vertical="center"/>
      <protection locked="0"/>
    </xf>
    <xf numFmtId="164" fontId="10" fillId="5" borderId="0" xfId="0" applyNumberFormat="1" applyFont="1" applyFill="1" applyBorder="1" applyAlignment="1" applyProtection="1">
      <alignment horizontal="center" vertical="center"/>
      <protection locked="0"/>
    </xf>
    <xf numFmtId="164" fontId="10" fillId="5" borderId="0" xfId="0" applyFont="1" applyFill="1" applyAlignment="1" applyProtection="1">
      <alignment horizontal="center" vertical="center"/>
      <protection locked="0"/>
    </xf>
    <xf numFmtId="164" fontId="10" fillId="5" borderId="0" xfId="0" applyFont="1" applyFill="1" applyBorder="1" applyAlignment="1" applyProtection="1">
      <alignment horizontal="center" vertical="center" wrapText="1"/>
      <protection locked="0"/>
    </xf>
    <xf numFmtId="164" fontId="5" fillId="5" borderId="0" xfId="0" applyFont="1" applyFill="1" applyBorder="1" applyAlignment="1" applyProtection="1">
      <alignment horizontal="center" vertical="center"/>
      <protection locked="0"/>
    </xf>
    <xf numFmtId="164" fontId="5" fillId="5" borderId="0" xfId="0" applyNumberFormat="1" applyFont="1" applyFill="1" applyBorder="1" applyAlignment="1" applyProtection="1">
      <alignment horizontal="center" vertical="center"/>
      <protection locked="0"/>
    </xf>
    <xf numFmtId="164" fontId="5" fillId="0" borderId="0" xfId="0" applyFont="1" applyFill="1" applyBorder="1" applyAlignment="1" applyProtection="1">
      <alignment horizontal="left" vertical="center"/>
      <protection locked="0" hidden="1"/>
    </xf>
    <xf numFmtId="164" fontId="24" fillId="6" borderId="29" xfId="0" quotePrefix="1" applyFont="1" applyFill="1" applyBorder="1" applyAlignment="1" applyProtection="1">
      <alignment horizontal="center" vertical="center"/>
      <protection locked="0" hidden="1"/>
    </xf>
    <xf numFmtId="164" fontId="27" fillId="9" borderId="29" xfId="0" quotePrefix="1" applyFont="1" applyFill="1" applyBorder="1" applyAlignment="1" applyProtection="1">
      <alignment horizontal="center" vertical="center"/>
      <protection locked="0" hidden="1"/>
    </xf>
    <xf numFmtId="164" fontId="5" fillId="0" borderId="10" xfId="0" applyFont="1" applyFill="1" applyBorder="1" applyAlignment="1" applyProtection="1">
      <alignment horizontal="center" vertical="center"/>
      <protection locked="0" hidden="1"/>
    </xf>
    <xf numFmtId="164" fontId="5" fillId="0" borderId="0" xfId="0" applyFont="1" applyAlignment="1" applyProtection="1">
      <alignment horizontal="left" vertical="center"/>
      <protection locked="0"/>
    </xf>
    <xf numFmtId="0" fontId="40" fillId="0" borderId="35" xfId="0" applyNumberFormat="1" applyFont="1" applyFill="1" applyBorder="1" applyAlignment="1" applyProtection="1">
      <alignment horizontal="center" vertical="center"/>
      <protection locked="0"/>
    </xf>
    <xf numFmtId="164" fontId="46" fillId="0" borderId="0" xfId="0" applyFont="1" applyFill="1" applyBorder="1" applyAlignment="1" applyProtection="1">
      <alignment horizontal="left" vertical="center"/>
      <protection locked="0"/>
    </xf>
    <xf numFmtId="164" fontId="28" fillId="0" borderId="35" xfId="0" applyNumberFormat="1" applyFont="1" applyFill="1" applyBorder="1" applyAlignment="1">
      <alignment horizontal="left" vertical="center"/>
    </xf>
    <xf numFmtId="164" fontId="28" fillId="0" borderId="35" xfId="0" applyNumberFormat="1" applyFont="1" applyFill="1" applyBorder="1" applyAlignment="1">
      <alignment horizontal="center" vertical="center"/>
    </xf>
    <xf numFmtId="164" fontId="40" fillId="0" borderId="35" xfId="0" applyFont="1" applyFill="1" applyBorder="1" applyAlignment="1">
      <alignment horizontal="center" vertical="center"/>
    </xf>
    <xf numFmtId="164" fontId="27" fillId="9" borderId="1" xfId="0" applyFont="1" applyFill="1" applyBorder="1" applyAlignment="1" applyProtection="1">
      <alignment horizontal="center" vertical="center"/>
      <protection locked="0" hidden="1"/>
    </xf>
    <xf numFmtId="164" fontId="40" fillId="0" borderId="35" xfId="0" applyNumberFormat="1" applyFont="1" applyFill="1" applyBorder="1" applyAlignment="1">
      <alignment horizontal="left" vertical="center" wrapText="1"/>
    </xf>
    <xf numFmtId="164" fontId="27" fillId="9" borderId="36" xfId="0" applyFont="1" applyFill="1" applyBorder="1" applyAlignment="1" applyProtection="1">
      <alignment horizontal="center" vertical="center"/>
      <protection locked="0" hidden="1"/>
    </xf>
    <xf numFmtId="164" fontId="24" fillId="6" borderId="1" xfId="0" applyFont="1" applyFill="1" applyBorder="1" applyAlignment="1" applyProtection="1">
      <alignment horizontal="center" vertical="center"/>
      <protection locked="0" hidden="1"/>
    </xf>
    <xf numFmtId="164" fontId="5" fillId="0" borderId="32" xfId="0" applyFont="1" applyFill="1" applyBorder="1" applyAlignment="1" applyProtection="1">
      <alignment horizontal="center" vertical="center"/>
      <protection locked="0"/>
    </xf>
    <xf numFmtId="0" fontId="3" fillId="0" borderId="4" xfId="0" applyNumberFormat="1" applyFont="1" applyBorder="1" applyAlignment="1" applyProtection="1">
      <alignment horizontal="center" vertical="center"/>
    </xf>
    <xf numFmtId="0" fontId="3" fillId="0" borderId="5" xfId="0" applyNumberFormat="1" applyFont="1" applyBorder="1" applyAlignment="1" applyProtection="1">
      <alignment horizontal="center" vertical="center"/>
    </xf>
    <xf numFmtId="0" fontId="3" fillId="0" borderId="6" xfId="0" applyNumberFormat="1" applyFont="1" applyBorder="1" applyAlignment="1" applyProtection="1">
      <alignment horizontal="center" vertical="center"/>
    </xf>
    <xf numFmtId="0" fontId="3" fillId="0" borderId="7" xfId="0" applyNumberFormat="1" applyFont="1" applyBorder="1" applyAlignment="1" applyProtection="1">
      <alignment horizontal="center" vertical="center"/>
    </xf>
    <xf numFmtId="0" fontId="12" fillId="4" borderId="3" xfId="0" applyNumberFormat="1" applyFont="1" applyFill="1" applyBorder="1" applyAlignment="1" applyProtection="1">
      <alignment horizontal="center" vertical="center"/>
    </xf>
    <xf numFmtId="0" fontId="12" fillId="4" borderId="5" xfId="0" applyNumberFormat="1" applyFont="1" applyFill="1" applyBorder="1" applyAlignment="1" applyProtection="1">
      <alignment horizontal="center" vertical="center"/>
    </xf>
    <xf numFmtId="0" fontId="12" fillId="4" borderId="7" xfId="0" applyNumberFormat="1" applyFont="1" applyFill="1" applyBorder="1" applyAlignment="1" applyProtection="1">
      <alignment horizontal="center" vertical="center"/>
    </xf>
    <xf numFmtId="0" fontId="4" fillId="3" borderId="2" xfId="0" applyNumberFormat="1" applyFont="1" applyFill="1" applyBorder="1" applyAlignment="1" applyProtection="1">
      <alignment horizontal="center" vertical="center"/>
      <protection locked="0"/>
    </xf>
    <xf numFmtId="0" fontId="4" fillId="3" borderId="3" xfId="0" applyNumberFormat="1" applyFont="1" applyFill="1" applyBorder="1" applyAlignment="1" applyProtection="1">
      <alignment horizontal="center" vertical="center"/>
      <protection locked="0"/>
    </xf>
    <xf numFmtId="0" fontId="4" fillId="3" borderId="4" xfId="0" applyNumberFormat="1" applyFont="1" applyFill="1" applyBorder="1" applyAlignment="1" applyProtection="1">
      <alignment horizontal="center" vertical="center"/>
      <protection locked="0"/>
    </xf>
    <xf numFmtId="0" fontId="4" fillId="3" borderId="5" xfId="0" applyNumberFormat="1" applyFont="1" applyFill="1" applyBorder="1" applyAlignment="1" applyProtection="1">
      <alignment horizontal="center" vertical="center"/>
      <protection locked="0"/>
    </xf>
    <xf numFmtId="0" fontId="4" fillId="3" borderId="6" xfId="0" applyNumberFormat="1" applyFont="1" applyFill="1" applyBorder="1" applyAlignment="1" applyProtection="1">
      <alignment horizontal="center" vertical="center"/>
      <protection locked="0"/>
    </xf>
    <xf numFmtId="0" fontId="4" fillId="3" borderId="7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Border="1" applyAlignment="1" applyProtection="1">
      <alignment horizontal="center" vertical="center"/>
    </xf>
    <xf numFmtId="0" fontId="3" fillId="0" borderId="3" xfId="0" applyNumberFormat="1" applyFont="1" applyBorder="1" applyAlignment="1" applyProtection="1">
      <alignment horizontal="center" vertical="center"/>
    </xf>
    <xf numFmtId="0" fontId="2" fillId="3" borderId="16" xfId="0" applyNumberFormat="1" applyFont="1" applyFill="1" applyBorder="1" applyAlignment="1" applyProtection="1">
      <alignment horizontal="center" vertical="center"/>
      <protection locked="0"/>
    </xf>
    <xf numFmtId="0" fontId="2" fillId="3" borderId="17" xfId="0" applyNumberFormat="1" applyFont="1" applyFill="1" applyBorder="1" applyAlignment="1" applyProtection="1">
      <alignment horizontal="center" vertical="center"/>
      <protection locked="0"/>
    </xf>
    <xf numFmtId="0" fontId="2" fillId="3" borderId="18" xfId="0" applyNumberFormat="1" applyFont="1" applyFill="1" applyBorder="1" applyAlignment="1" applyProtection="1">
      <alignment horizontal="center" vertical="center"/>
      <protection locked="0"/>
    </xf>
    <xf numFmtId="0" fontId="12" fillId="0" borderId="20" xfId="0" applyNumberFormat="1" applyFont="1" applyFill="1" applyBorder="1" applyAlignment="1" applyProtection="1">
      <alignment horizontal="center" vertical="center"/>
    </xf>
    <xf numFmtId="0" fontId="12" fillId="0" borderId="21" xfId="0" applyNumberFormat="1" applyFont="1" applyFill="1" applyBorder="1" applyAlignment="1" applyProtection="1">
      <alignment horizontal="center" vertical="center"/>
    </xf>
    <xf numFmtId="164" fontId="11" fillId="0" borderId="11" xfId="0" applyFont="1" applyFill="1" applyBorder="1" applyAlignment="1" applyProtection="1">
      <alignment horizontal="center" vertical="center"/>
      <protection locked="0"/>
    </xf>
    <xf numFmtId="164" fontId="11" fillId="0" borderId="12" xfId="0" applyFont="1" applyFill="1" applyBorder="1" applyAlignment="1" applyProtection="1">
      <alignment horizontal="center" vertical="center"/>
      <protection locked="0"/>
    </xf>
    <xf numFmtId="0" fontId="6" fillId="0" borderId="8" xfId="0" applyNumberFormat="1" applyFont="1" applyFill="1" applyBorder="1" applyAlignment="1" applyProtection="1">
      <alignment horizontal="center" vertical="center"/>
      <protection locked="0"/>
    </xf>
    <xf numFmtId="0" fontId="6" fillId="0" borderId="9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NumberFormat="1" applyFont="1" applyFill="1" applyBorder="1" applyAlignment="1" applyProtection="1">
      <alignment horizontal="center" vertical="center"/>
    </xf>
    <xf numFmtId="164" fontId="5" fillId="0" borderId="31" xfId="0" applyFont="1" applyFill="1" applyBorder="1" applyAlignment="1" applyProtection="1">
      <alignment horizontal="center" vertical="center"/>
      <protection locked="0"/>
    </xf>
    <xf numFmtId="164" fontId="5" fillId="0" borderId="32" xfId="0" applyFont="1" applyFill="1" applyBorder="1" applyAlignment="1" applyProtection="1">
      <alignment horizontal="center" vertical="center"/>
      <protection locked="0"/>
    </xf>
    <xf numFmtId="164" fontId="4" fillId="2" borderId="8" xfId="0" applyFont="1" applyFill="1" applyBorder="1" applyAlignment="1" applyProtection="1">
      <alignment horizontal="center" vertical="center"/>
      <protection locked="0"/>
    </xf>
    <xf numFmtId="164" fontId="4" fillId="2" borderId="38" xfId="0" applyFont="1" applyFill="1" applyBorder="1" applyAlignment="1" applyProtection="1">
      <alignment horizontal="center" vertical="center"/>
      <protection locked="0"/>
    </xf>
    <xf numFmtId="0" fontId="31" fillId="0" borderId="35" xfId="2" applyFont="1" applyBorder="1" applyAlignment="1">
      <alignment horizontal="center" vertical="center"/>
    </xf>
    <xf numFmtId="0" fontId="26" fillId="0" borderId="0" xfId="1" applyNumberFormat="1" applyFont="1" applyAlignment="1">
      <alignment horizontal="center" vertical="center"/>
    </xf>
  </cellXfs>
  <cellStyles count="98">
    <cellStyle name="Normal" xfId="0" builtinId="0"/>
    <cellStyle name="Normal 10" xfId="9" xr:uid="{00000000-0005-0000-0000-000001000000}"/>
    <cellStyle name="Normal 11" xfId="10" xr:uid="{00000000-0005-0000-0000-000002000000}"/>
    <cellStyle name="Normal 12" xfId="28" xr:uid="{00000000-0005-0000-0000-000003000000}"/>
    <cellStyle name="Normal 12 2" xfId="73" xr:uid="{00000000-0005-0000-0000-000004000000}"/>
    <cellStyle name="Normal 12 3" xfId="31" xr:uid="{00000000-0005-0000-0000-000005000000}"/>
    <cellStyle name="Normal 13" xfId="29" xr:uid="{00000000-0005-0000-0000-000006000000}"/>
    <cellStyle name="Normal 13 2" xfId="74" xr:uid="{00000000-0005-0000-0000-000007000000}"/>
    <cellStyle name="Normal 13 3" xfId="32" xr:uid="{00000000-0005-0000-0000-000008000000}"/>
    <cellStyle name="Normal 14" xfId="21" xr:uid="{00000000-0005-0000-0000-000009000000}"/>
    <cellStyle name="Normal 14 2" xfId="66" xr:uid="{00000000-0005-0000-0000-00000A000000}"/>
    <cellStyle name="Normal 14 3" xfId="33" xr:uid="{00000000-0005-0000-0000-00000B000000}"/>
    <cellStyle name="Normal 15" xfId="25" xr:uid="{00000000-0005-0000-0000-00000C000000}"/>
    <cellStyle name="Normal 15 2" xfId="70" xr:uid="{00000000-0005-0000-0000-00000D000000}"/>
    <cellStyle name="Normal 15 3" xfId="34" xr:uid="{00000000-0005-0000-0000-00000E000000}"/>
    <cellStyle name="Normal 16" xfId="22" xr:uid="{00000000-0005-0000-0000-00000F000000}"/>
    <cellStyle name="Normal 16 2" xfId="67" xr:uid="{00000000-0005-0000-0000-000010000000}"/>
    <cellStyle name="Normal 16 3" xfId="35" xr:uid="{00000000-0005-0000-0000-000011000000}"/>
    <cellStyle name="Normal 17" xfId="36" xr:uid="{00000000-0005-0000-0000-000012000000}"/>
    <cellStyle name="Normal 18" xfId="16" xr:uid="{00000000-0005-0000-0000-000013000000}"/>
    <cellStyle name="Normal 18 2" xfId="61" xr:uid="{00000000-0005-0000-0000-000014000000}"/>
    <cellStyle name="Normal 18 3" xfId="37" xr:uid="{00000000-0005-0000-0000-000015000000}"/>
    <cellStyle name="Normal 19" xfId="14" xr:uid="{00000000-0005-0000-0000-000016000000}"/>
    <cellStyle name="Normal 19 2" xfId="59" xr:uid="{00000000-0005-0000-0000-000017000000}"/>
    <cellStyle name="Normal 19 3" xfId="38" xr:uid="{00000000-0005-0000-0000-000018000000}"/>
    <cellStyle name="Normal 2" xfId="1" xr:uid="{00000000-0005-0000-0000-000019000000}"/>
    <cellStyle name="Normal 2 10" xfId="97" xr:uid="{00000000-0005-0000-0000-00001A000000}"/>
    <cellStyle name="Normal 20" xfId="26" xr:uid="{00000000-0005-0000-0000-00001B000000}"/>
    <cellStyle name="Normal 20 2" xfId="71" xr:uid="{00000000-0005-0000-0000-00001C000000}"/>
    <cellStyle name="Normal 20 3" xfId="39" xr:uid="{00000000-0005-0000-0000-00001D000000}"/>
    <cellStyle name="Normal 21" xfId="23" xr:uid="{00000000-0005-0000-0000-00001E000000}"/>
    <cellStyle name="Normal 21 2" xfId="68" xr:uid="{00000000-0005-0000-0000-00001F000000}"/>
    <cellStyle name="Normal 21 3" xfId="40" xr:uid="{00000000-0005-0000-0000-000020000000}"/>
    <cellStyle name="Normal 22" xfId="18" xr:uid="{00000000-0005-0000-0000-000021000000}"/>
    <cellStyle name="Normal 22 2" xfId="63" xr:uid="{00000000-0005-0000-0000-000022000000}"/>
    <cellStyle name="Normal 22 3" xfId="41" xr:uid="{00000000-0005-0000-0000-000023000000}"/>
    <cellStyle name="Normal 23" xfId="11" xr:uid="{00000000-0005-0000-0000-000024000000}"/>
    <cellStyle name="Normal 23 2" xfId="56" xr:uid="{00000000-0005-0000-0000-000025000000}"/>
    <cellStyle name="Normal 23 3" xfId="42" xr:uid="{00000000-0005-0000-0000-000026000000}"/>
    <cellStyle name="Normal 24" xfId="19" xr:uid="{00000000-0005-0000-0000-000027000000}"/>
    <cellStyle name="Normal 24 2" xfId="64" xr:uid="{00000000-0005-0000-0000-000028000000}"/>
    <cellStyle name="Normal 24 3" xfId="43" xr:uid="{00000000-0005-0000-0000-000029000000}"/>
    <cellStyle name="Normal 25" xfId="27" xr:uid="{00000000-0005-0000-0000-00002A000000}"/>
    <cellStyle name="Normal 25 2" xfId="72" xr:uid="{00000000-0005-0000-0000-00002B000000}"/>
    <cellStyle name="Normal 25 3" xfId="44" xr:uid="{00000000-0005-0000-0000-00002C000000}"/>
    <cellStyle name="Normal 26" xfId="24" xr:uid="{00000000-0005-0000-0000-00002D000000}"/>
    <cellStyle name="Normal 26 2" xfId="69" xr:uid="{00000000-0005-0000-0000-00002E000000}"/>
    <cellStyle name="Normal 26 3" xfId="45" xr:uid="{00000000-0005-0000-0000-00002F000000}"/>
    <cellStyle name="Normal 27" xfId="15" xr:uid="{00000000-0005-0000-0000-000030000000}"/>
    <cellStyle name="Normal 27 2" xfId="60" xr:uid="{00000000-0005-0000-0000-000031000000}"/>
    <cellStyle name="Normal 27 3" xfId="46" xr:uid="{00000000-0005-0000-0000-000032000000}"/>
    <cellStyle name="Normal 28" xfId="13" xr:uid="{00000000-0005-0000-0000-000033000000}"/>
    <cellStyle name="Normal 28 2" xfId="58" xr:uid="{00000000-0005-0000-0000-000034000000}"/>
    <cellStyle name="Normal 28 3" xfId="47" xr:uid="{00000000-0005-0000-0000-000035000000}"/>
    <cellStyle name="Normal 29" xfId="20" xr:uid="{00000000-0005-0000-0000-000036000000}"/>
    <cellStyle name="Normal 29 2" xfId="65" xr:uid="{00000000-0005-0000-0000-000037000000}"/>
    <cellStyle name="Normal 29 3" xfId="48" xr:uid="{00000000-0005-0000-0000-000038000000}"/>
    <cellStyle name="Normal 3" xfId="2" xr:uid="{00000000-0005-0000-0000-000039000000}"/>
    <cellStyle name="Normal 30" xfId="17" xr:uid="{00000000-0005-0000-0000-00003A000000}"/>
    <cellStyle name="Normal 30 2" xfId="62" xr:uid="{00000000-0005-0000-0000-00003B000000}"/>
    <cellStyle name="Normal 30 3" xfId="49" xr:uid="{00000000-0005-0000-0000-00003C000000}"/>
    <cellStyle name="Normal 31" xfId="12" xr:uid="{00000000-0005-0000-0000-00003D000000}"/>
    <cellStyle name="Normal 31 2" xfId="57" xr:uid="{00000000-0005-0000-0000-00003E000000}"/>
    <cellStyle name="Normal 31 3" xfId="50" xr:uid="{00000000-0005-0000-0000-00003F000000}"/>
    <cellStyle name="Normal 32" xfId="51" xr:uid="{00000000-0005-0000-0000-000040000000}"/>
    <cellStyle name="Normal 33" xfId="54" xr:uid="{00000000-0005-0000-0000-000041000000}"/>
    <cellStyle name="Normal 34" xfId="55" xr:uid="{00000000-0005-0000-0000-000042000000}"/>
    <cellStyle name="Normal 35" xfId="53" xr:uid="{00000000-0005-0000-0000-000043000000}"/>
    <cellStyle name="Normal 36" xfId="76" xr:uid="{00000000-0005-0000-0000-000044000000}"/>
    <cellStyle name="Normal 37" xfId="75" xr:uid="{00000000-0005-0000-0000-000045000000}"/>
    <cellStyle name="Normal 38" xfId="52" xr:uid="{00000000-0005-0000-0000-000046000000}"/>
    <cellStyle name="Normal 39" xfId="79" xr:uid="{00000000-0005-0000-0000-000047000000}"/>
    <cellStyle name="Normal 4" xfId="3" xr:uid="{00000000-0005-0000-0000-000048000000}"/>
    <cellStyle name="Normal 40" xfId="77" xr:uid="{00000000-0005-0000-0000-000049000000}"/>
    <cellStyle name="Normal 41" xfId="78" xr:uid="{00000000-0005-0000-0000-00004A000000}"/>
    <cellStyle name="Normal 42" xfId="80" xr:uid="{00000000-0005-0000-0000-00004B000000}"/>
    <cellStyle name="Normal 43" xfId="81" xr:uid="{00000000-0005-0000-0000-00004C000000}"/>
    <cellStyle name="Normal 44" xfId="85" xr:uid="{00000000-0005-0000-0000-00004D000000}"/>
    <cellStyle name="Normal 45" xfId="83" xr:uid="{00000000-0005-0000-0000-00004E000000}"/>
    <cellStyle name="Normal 46" xfId="82" xr:uid="{00000000-0005-0000-0000-00004F000000}"/>
    <cellStyle name="Normal 47" xfId="86" xr:uid="{00000000-0005-0000-0000-000050000000}"/>
    <cellStyle name="Normal 48" xfId="84" xr:uid="{00000000-0005-0000-0000-000051000000}"/>
    <cellStyle name="Normal 49" xfId="87" xr:uid="{00000000-0005-0000-0000-000052000000}"/>
    <cellStyle name="Normal 5" xfId="4" xr:uid="{00000000-0005-0000-0000-000053000000}"/>
    <cellStyle name="Normal 50" xfId="88" xr:uid="{00000000-0005-0000-0000-000054000000}"/>
    <cellStyle name="Normal 51" xfId="89" xr:uid="{00000000-0005-0000-0000-000055000000}"/>
    <cellStyle name="Normal 52" xfId="91" xr:uid="{00000000-0005-0000-0000-000056000000}"/>
    <cellStyle name="Normal 53" xfId="90" xr:uid="{00000000-0005-0000-0000-000057000000}"/>
    <cellStyle name="Normal 54" xfId="93" xr:uid="{00000000-0005-0000-0000-000058000000}"/>
    <cellStyle name="Normal 55" xfId="94" xr:uid="{00000000-0005-0000-0000-000059000000}"/>
    <cellStyle name="Normal 56" xfId="92" xr:uid="{00000000-0005-0000-0000-00005A000000}"/>
    <cellStyle name="Normal 57" xfId="30" xr:uid="{00000000-0005-0000-0000-00005B000000}"/>
    <cellStyle name="Normal 58" xfId="95" xr:uid="{00000000-0005-0000-0000-00005C000000}"/>
    <cellStyle name="Normal 59" xfId="96" xr:uid="{00000000-0005-0000-0000-00005D000000}"/>
    <cellStyle name="Normal 6" xfId="5" xr:uid="{00000000-0005-0000-0000-00005E000000}"/>
    <cellStyle name="Normal 7" xfId="6" xr:uid="{00000000-0005-0000-0000-00005F000000}"/>
    <cellStyle name="Normal 8" xfId="7" xr:uid="{00000000-0005-0000-0000-000060000000}"/>
    <cellStyle name="Normal 9" xfId="8" xr:uid="{00000000-0005-0000-0000-000061000000}"/>
  </cellStyles>
  <dxfs count="42">
    <dxf>
      <font>
        <b/>
        <i val="0"/>
        <strike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[$-416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FF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rgb="FF0000FF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protection locked="0" hidden="1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[$-416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[$-416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[$-416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[$-416]d\-mmm\-yy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/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[$-416]d\-mmm\-yy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  <dxf>
      <font>
        <b/>
        <i val="0"/>
        <color theme="9" tint="-0.24994659260841701"/>
      </font>
    </dxf>
    <dxf>
      <font>
        <b/>
        <i val="0"/>
        <color rgb="FF006600"/>
      </font>
    </dxf>
    <dxf>
      <font>
        <b/>
        <i val="0"/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6600"/>
        </patternFill>
      </fill>
    </dxf>
    <dxf>
      <font>
        <b/>
        <i val="0"/>
        <color theme="9" tint="-0.24994659260841701"/>
      </font>
    </dxf>
    <dxf>
      <font>
        <b/>
        <i val="0"/>
        <color rgb="FF006600"/>
      </font>
    </dxf>
    <dxf>
      <font>
        <b/>
        <i val="0"/>
        <color rgb="FFC00000"/>
      </font>
    </dxf>
    <dxf>
      <font>
        <color theme="0"/>
      </font>
    </dxf>
  </dxfs>
  <tableStyles count="0" defaultTableStyle="TableStyleMedium9" defaultPivotStyle="PivotStyleLight16"/>
  <colors>
    <mruColors>
      <color rgb="FF66CCFF"/>
      <color rgb="FFFFCCFF"/>
      <color rgb="FFFF99CC"/>
      <color rgb="FF0000FF"/>
      <color rgb="FFFF0000"/>
      <color rgb="FFFF3300"/>
      <color rgb="FFFF33CC"/>
      <color rgb="FFFF99FF"/>
      <color rgb="FFFF999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123824</xdr:colOff>
      <xdr:row>203</xdr:row>
      <xdr:rowOff>119742</xdr:rowOff>
    </xdr:from>
    <xdr:to>
      <xdr:col>12</xdr:col>
      <xdr:colOff>1172194</xdr:colOff>
      <xdr:row>203</xdr:row>
      <xdr:rowOff>500743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0999" y="42896517"/>
          <a:ext cx="1909084" cy="3810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2070100</xdr:colOff>
          <xdr:row>1</xdr:row>
          <xdr:rowOff>25400</xdr:rowOff>
        </xdr:from>
        <xdr:to>
          <xdr:col>2</xdr:col>
          <xdr:colOff>355600</xdr:colOff>
          <xdr:row>1</xdr:row>
          <xdr:rowOff>330200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LIMPA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2057400</xdr:colOff>
          <xdr:row>2</xdr:row>
          <xdr:rowOff>25400</xdr:rowOff>
        </xdr:from>
        <xdr:to>
          <xdr:col>2</xdr:col>
          <xdr:colOff>355600</xdr:colOff>
          <xdr:row>2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EMPRESAS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57150</xdr:colOff>
      <xdr:row>1</xdr:row>
      <xdr:rowOff>57150</xdr:rowOff>
    </xdr:from>
    <xdr:to>
      <xdr:col>1</xdr:col>
      <xdr:colOff>1884219</xdr:colOff>
      <xdr:row>2</xdr:row>
      <xdr:rowOff>268896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1" t="20900" r="8832" b="21575"/>
        <a:stretch/>
      </xdr:blipFill>
      <xdr:spPr>
        <a:xfrm>
          <a:off x="152400" y="143741"/>
          <a:ext cx="1827069" cy="558110"/>
        </a:xfrm>
        <a:prstGeom prst="rect">
          <a:avLst/>
        </a:prstGeom>
      </xdr:spPr>
    </xdr:pic>
    <xdr:clientData/>
  </xdr:twoCellAnchor>
  <xdr:twoCellAnchor editAs="oneCell">
    <xdr:from>
      <xdr:col>9</xdr:col>
      <xdr:colOff>409575</xdr:colOff>
      <xdr:row>203</xdr:row>
      <xdr:rowOff>38100</xdr:rowOff>
    </xdr:from>
    <xdr:to>
      <xdr:col>10</xdr:col>
      <xdr:colOff>731694</xdr:colOff>
      <xdr:row>203</xdr:row>
      <xdr:rowOff>592746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1" t="20900" r="8832" b="21575"/>
        <a:stretch/>
      </xdr:blipFill>
      <xdr:spPr>
        <a:xfrm>
          <a:off x="10248900" y="42872025"/>
          <a:ext cx="1827069" cy="5546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406400</xdr:colOff>
          <xdr:row>1</xdr:row>
          <xdr:rowOff>50800</xdr:rowOff>
        </xdr:from>
        <xdr:to>
          <xdr:col>2</xdr:col>
          <xdr:colOff>2006600</xdr:colOff>
          <xdr:row>2</xdr:row>
          <xdr:rowOff>279400</xdr:rowOff>
        </xdr:to>
        <xdr:sp macro="" textlink="">
          <xdr:nvSpPr>
            <xdr:cNvPr id="1195" name="Button 140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LIMPA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EMBARQUE / DESEMBARQUE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115806</xdr:rowOff>
    </xdr:from>
    <xdr:to>
      <xdr:col>0</xdr:col>
      <xdr:colOff>1495425</xdr:colOff>
      <xdr:row>0</xdr:row>
      <xdr:rowOff>476250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02" t="21239" r="9186" b="21615"/>
        <a:stretch/>
      </xdr:blipFill>
      <xdr:spPr>
        <a:xfrm>
          <a:off x="133350" y="115806"/>
          <a:ext cx="1362075" cy="3604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115806</xdr:rowOff>
    </xdr:from>
    <xdr:to>
      <xdr:col>0</xdr:col>
      <xdr:colOff>1495425</xdr:colOff>
      <xdr:row>0</xdr:row>
      <xdr:rowOff>476250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02" t="21239" r="9186" b="21615"/>
        <a:stretch/>
      </xdr:blipFill>
      <xdr:spPr>
        <a:xfrm>
          <a:off x="133350" y="115806"/>
          <a:ext cx="1362075" cy="36044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OB" displayName="POB" ref="B4:M202" totalsRowShown="0" headerRowDxfId="32" dataDxfId="30" headerRowBorderDxfId="31" tableBorderDxfId="29">
  <autoFilter ref="B4:M202" xr:uid="{00000000-0009-0000-0100-000001000000}">
    <filterColumn colId="1">
      <filters>
        <filter val="OPERADOR DE POSIC DINAMICO"/>
        <filter val="OPERADOR DE POSIC DINAMICO "/>
        <filter val="OPERADOR DE POSIC DINAMICO SR"/>
      </filters>
    </filterColumn>
  </autoFilter>
  <sortState xmlns:xlrd2="http://schemas.microsoft.com/office/spreadsheetml/2017/richdata2" ref="B5:M202">
    <sortCondition ref="B4:B202"/>
  </sortState>
  <tableColumns count="12">
    <tableColumn id="1" xr3:uid="{00000000-0010-0000-0000-000001000000}" name="NOME" dataDxfId="28"/>
    <tableColumn id="2" xr3:uid="{00000000-0010-0000-0000-000002000000}" name="FUNÇÃO ORIGINAL" dataDxfId="27"/>
    <tableColumn id="5" xr3:uid="{00000000-0010-0000-0000-000005000000}" name="FUNÇÃO EXERCIDA" dataDxfId="26"/>
    <tableColumn id="3" xr3:uid="{00000000-0010-0000-0000-000003000000}" name="EMPRESA" dataDxfId="25"/>
    <tableColumn id="4" xr3:uid="{00000000-0010-0000-0000-000004000000}" name="DECK E CABINE" dataDxfId="24"/>
    <tableColumn id="6" xr3:uid="{00000000-0010-0000-0000-000006000000}" name="BALEEIRA" dataDxfId="23">
      <calculatedColumnFormula>IF(B5="","",2)</calculatedColumnFormula>
    </tableColumn>
    <tableColumn id="7" xr3:uid="{00000000-0010-0000-0000-000007000000}" name="DEPARTAMENTO" dataDxfId="22"/>
    <tableColumn id="8" xr3:uid="{00000000-0010-0000-0000-000008000000}" name="NACIONALIDADE" dataDxfId="21"/>
    <tableColumn id="9" xr3:uid="{00000000-0010-0000-0000-000009000000}" name="POSIÇÃO DA CABINE" dataDxfId="20"/>
    <tableColumn id="10" xr3:uid="{00000000-0010-0000-0000-00000A000000}" name=" " dataDxfId="19"/>
    <tableColumn id="11" xr3:uid="{00000000-0010-0000-0000-00000B000000}" name="DIA EMBARQUE" dataDxfId="18"/>
    <tableColumn id="12" xr3:uid="{00000000-0010-0000-0000-00000C000000}" name="DIAS EMBARCADO" dataDxfId="17">
      <calculatedColumnFormula>IF(L5="","",$K$3-L5)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625734362342434251035342323233" displayName="Tabela625734362342434251035342323233" ref="A2:D53" totalsRowShown="0" headerRowDxfId="16" dataDxfId="14" headerRowBorderDxfId="15" tableBorderDxfId="13">
  <autoFilter ref="A2:D53" xr:uid="{00000000-0009-0000-0100-000002000000}"/>
  <sortState xmlns:xlrd2="http://schemas.microsoft.com/office/spreadsheetml/2017/richdata2" ref="A3:D53">
    <sortCondition ref="A2:A53"/>
  </sortState>
  <tableColumns count="4">
    <tableColumn id="3" xr3:uid="{00000000-0010-0000-0100-000003000000}" name="Name" dataDxfId="12"/>
    <tableColumn id="2" xr3:uid="{00000000-0010-0000-0100-000002000000}" name="Position Title" dataDxfId="11"/>
    <tableColumn id="1" xr3:uid="{00000000-0010-0000-0100-000001000000}" name="Company" dataDxfId="10"/>
    <tableColumn id="4" xr3:uid="{00000000-0010-0000-0100-000004000000}" name="Deck / Cabin" dataDxfId="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6257343623424342510353423232334" displayName="Tabela6257343623424342510353423232334" ref="A2:E41" totalsRowShown="0" headerRowDxfId="8" dataDxfId="6" headerRowBorderDxfId="7" tableBorderDxfId="5">
  <autoFilter ref="A2:E41" xr:uid="{00000000-0009-0000-0100-000003000000}"/>
  <sortState xmlns:xlrd2="http://schemas.microsoft.com/office/spreadsheetml/2017/richdata2" ref="A3:E41">
    <sortCondition ref="A2:A41"/>
  </sortState>
  <tableColumns count="5">
    <tableColumn id="3" xr3:uid="{00000000-0010-0000-0200-000003000000}" name="Name" dataDxfId="4"/>
    <tableColumn id="7" xr3:uid="{00000000-0010-0000-0200-000007000000}" name="SISPAT" dataDxfId="3"/>
    <tableColumn id="2" xr3:uid="{00000000-0010-0000-0200-000002000000}" name="Position Title" dataDxfId="2"/>
    <tableColumn id="1" xr3:uid="{00000000-0010-0000-0200-000001000000}" name="Company" dataDxfId="1"/>
    <tableColumn id="4" xr3:uid="{00000000-0010-0000-0200-000004000000}" name="Deck / Cabi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8B0CE17-A799-4B84-9867-1E8050BE3691}">
  <we:reference id="wa103582025" version="1.0.0.0" store="pt-BR" storeType="OMEX"/>
  <we:alternateReferences>
    <we:reference id="WA103582025" version="1.0.0.0" store="WA10358202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4058"/>
  <sheetViews>
    <sheetView showGridLines="0" tabSelected="1" zoomScale="95" zoomScaleNormal="95" workbookViewId="0">
      <pane ySplit="4" topLeftCell="A5" activePane="bottomLeft" state="frozen"/>
      <selection pane="bottomLeft" activeCell="C89" sqref="C89"/>
    </sheetView>
  </sheetViews>
  <sheetFormatPr baseColWidth="10" defaultColWidth="9.1640625" defaultRowHeight="14" x14ac:dyDescent="0.2"/>
  <cols>
    <col min="1" max="1" width="1.5" style="1" customWidth="1"/>
    <col min="2" max="2" width="39.5" style="1" bestFit="1" customWidth="1"/>
    <col min="3" max="3" width="30.6640625" style="2" customWidth="1"/>
    <col min="4" max="4" width="28.5" style="1" bestFit="1" customWidth="1"/>
    <col min="5" max="5" width="19.1640625" style="1" customWidth="1"/>
    <col min="6" max="6" width="9.5" style="1" bestFit="1" customWidth="1"/>
    <col min="7" max="7" width="8" style="1" customWidth="1"/>
    <col min="8" max="8" width="20.6640625" style="2" customWidth="1"/>
    <col min="9" max="9" width="15.1640625" style="1" customWidth="1"/>
    <col min="10" max="10" width="22.5" style="1" customWidth="1"/>
    <col min="11" max="11" width="13.83203125" style="1" customWidth="1"/>
    <col min="12" max="12" width="12.83203125" style="85" customWidth="1"/>
    <col min="13" max="13" width="19" style="1" customWidth="1"/>
    <col min="14" max="14" width="13.83203125" style="1" customWidth="1"/>
    <col min="15" max="15" width="29.6640625" style="1" customWidth="1"/>
    <col min="16" max="16" width="3.1640625" style="1" hidden="1" customWidth="1"/>
    <col min="17" max="16384" width="9.1640625" style="1"/>
  </cols>
  <sheetData>
    <row r="1" spans="1:16" ht="6.75" customHeight="1" x14ac:dyDescent="0.2"/>
    <row r="2" spans="1:16" ht="27" customHeight="1" x14ac:dyDescent="0.2">
      <c r="B2" s="216" t="s">
        <v>77</v>
      </c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9" t="s">
        <v>58</v>
      </c>
      <c r="O2" s="25"/>
    </row>
    <row r="3" spans="1:16" ht="27" customHeight="1" x14ac:dyDescent="0.2">
      <c r="B3" s="221"/>
      <c r="C3" s="222"/>
      <c r="D3" s="222"/>
      <c r="E3" s="222"/>
      <c r="F3" s="222"/>
      <c r="G3" s="222"/>
      <c r="H3" s="222"/>
      <c r="I3" s="222"/>
      <c r="J3" s="34" t="s">
        <v>78</v>
      </c>
      <c r="K3" s="35">
        <v>44769</v>
      </c>
      <c r="L3" s="86" t="s">
        <v>1057</v>
      </c>
      <c r="M3" s="49">
        <f>SUM(K238,M238)</f>
        <v>170</v>
      </c>
      <c r="N3" s="32" t="str">
        <f>IF(H214=M3,"POB CORRETO","CHECAR POB")</f>
        <v>POB CORRETO</v>
      </c>
    </row>
    <row r="4" spans="1:16" ht="27" customHeight="1" x14ac:dyDescent="0.2">
      <c r="B4" s="61" t="s">
        <v>71</v>
      </c>
      <c r="C4" s="52" t="s">
        <v>1133</v>
      </c>
      <c r="D4" s="52" t="s">
        <v>1130</v>
      </c>
      <c r="E4" s="53" t="s">
        <v>73</v>
      </c>
      <c r="F4" s="54" t="s">
        <v>880</v>
      </c>
      <c r="G4" s="55" t="s">
        <v>74</v>
      </c>
      <c r="H4" s="52" t="s">
        <v>75</v>
      </c>
      <c r="I4" s="52" t="s">
        <v>76</v>
      </c>
      <c r="J4" s="56" t="s">
        <v>119</v>
      </c>
      <c r="K4" s="56" t="s">
        <v>1056</v>
      </c>
      <c r="L4" s="87" t="s">
        <v>118</v>
      </c>
      <c r="M4" s="57" t="s">
        <v>117</v>
      </c>
      <c r="N4" s="33" t="s">
        <v>106</v>
      </c>
      <c r="P4" s="1" t="s">
        <v>54</v>
      </c>
    </row>
    <row r="5" spans="1:16" ht="16.5" hidden="1" customHeight="1" x14ac:dyDescent="0.2">
      <c r="A5" s="1">
        <v>44403</v>
      </c>
      <c r="B5" s="134" t="s">
        <v>1260</v>
      </c>
      <c r="C5" s="154" t="s">
        <v>1261</v>
      </c>
      <c r="D5" s="150"/>
      <c r="E5" s="135" t="s">
        <v>1076</v>
      </c>
      <c r="F5" s="157" t="s">
        <v>893</v>
      </c>
      <c r="G5" s="145">
        <f>IF(B5="","",3)</f>
        <v>3</v>
      </c>
      <c r="H5" s="136" t="s">
        <v>83</v>
      </c>
      <c r="I5" s="136" t="s">
        <v>1262</v>
      </c>
      <c r="J5" s="138" t="s">
        <v>46</v>
      </c>
      <c r="K5" s="193" t="s">
        <v>358</v>
      </c>
      <c r="L5" s="167">
        <v>44762</v>
      </c>
      <c r="M5" s="172">
        <f t="shared" ref="M5:M36" si="0">IF(L5="","",$K$3-L5+1)</f>
        <v>8</v>
      </c>
      <c r="P5" s="11" t="str">
        <f t="shared" ref="P5:P37" si="1">J205</f>
        <v>OCYAN S.A</v>
      </c>
    </row>
    <row r="6" spans="1:16" ht="16.5" hidden="1" customHeight="1" x14ac:dyDescent="0.2">
      <c r="B6" s="132" t="s">
        <v>1294</v>
      </c>
      <c r="C6" s="148" t="s">
        <v>1078</v>
      </c>
      <c r="D6" s="131"/>
      <c r="E6" s="155" t="s">
        <v>1076</v>
      </c>
      <c r="F6" s="156" t="s">
        <v>1017</v>
      </c>
      <c r="G6" s="143">
        <f>IF(B6="","",1)</f>
        <v>1</v>
      </c>
      <c r="H6" s="131" t="s">
        <v>80</v>
      </c>
      <c r="I6" s="131" t="s">
        <v>1077</v>
      </c>
      <c r="J6" s="139" t="s">
        <v>33</v>
      </c>
      <c r="K6" s="141" t="s">
        <v>358</v>
      </c>
      <c r="L6" s="168">
        <v>44758</v>
      </c>
      <c r="M6" s="147">
        <f t="shared" si="0"/>
        <v>12</v>
      </c>
      <c r="P6" s="11" t="str">
        <f t="shared" si="1"/>
        <v>DNV</v>
      </c>
    </row>
    <row r="7" spans="1:16" ht="17.25" hidden="1" customHeight="1" x14ac:dyDescent="0.2">
      <c r="B7" s="132" t="s">
        <v>1318</v>
      </c>
      <c r="C7" s="148" t="s">
        <v>1331</v>
      </c>
      <c r="D7" s="175"/>
      <c r="E7" s="133" t="s">
        <v>1105</v>
      </c>
      <c r="F7" s="156" t="s">
        <v>1054</v>
      </c>
      <c r="G7" s="143">
        <f>IF(B7="","",2)</f>
        <v>2</v>
      </c>
      <c r="H7" s="131" t="s">
        <v>1069</v>
      </c>
      <c r="I7" s="131" t="s">
        <v>1077</v>
      </c>
      <c r="J7" s="139" t="s">
        <v>9</v>
      </c>
      <c r="K7" s="141" t="s">
        <v>358</v>
      </c>
      <c r="L7" s="168">
        <v>44767</v>
      </c>
      <c r="M7" s="147">
        <f t="shared" si="0"/>
        <v>3</v>
      </c>
      <c r="P7" s="11" t="str">
        <f t="shared" si="1"/>
        <v>CAMERON</v>
      </c>
    </row>
    <row r="8" spans="1:16" ht="16.5" hidden="1" customHeight="1" x14ac:dyDescent="0.2">
      <c r="B8" s="132" t="s">
        <v>1337</v>
      </c>
      <c r="C8" s="160" t="s">
        <v>1283</v>
      </c>
      <c r="D8" s="174"/>
      <c r="E8" s="149" t="s">
        <v>99</v>
      </c>
      <c r="F8" s="156" t="s">
        <v>976</v>
      </c>
      <c r="G8" s="143">
        <f>IF(B8="","",3)</f>
        <v>3</v>
      </c>
      <c r="H8" s="131" t="s">
        <v>1069</v>
      </c>
      <c r="I8" s="131" t="s">
        <v>1077</v>
      </c>
      <c r="J8" s="139" t="s">
        <v>1116</v>
      </c>
      <c r="K8" s="142" t="s">
        <v>59</v>
      </c>
      <c r="L8" s="168">
        <v>44765</v>
      </c>
      <c r="M8" s="147">
        <f t="shared" si="0"/>
        <v>5</v>
      </c>
      <c r="P8" s="11" t="str">
        <f t="shared" si="1"/>
        <v>MAN</v>
      </c>
    </row>
    <row r="9" spans="1:16" ht="16.5" hidden="1" customHeight="1" x14ac:dyDescent="0.2">
      <c r="B9" s="132" t="s">
        <v>356</v>
      </c>
      <c r="C9" s="148" t="s">
        <v>110</v>
      </c>
      <c r="D9" s="131"/>
      <c r="E9" s="133" t="s">
        <v>1076</v>
      </c>
      <c r="F9" s="156" t="s">
        <v>1006</v>
      </c>
      <c r="G9" s="143">
        <f>IF(B9="","",1)</f>
        <v>1</v>
      </c>
      <c r="H9" s="131" t="s">
        <v>80</v>
      </c>
      <c r="I9" s="131" t="s">
        <v>1077</v>
      </c>
      <c r="J9" s="139" t="s">
        <v>29</v>
      </c>
      <c r="K9" s="141" t="s">
        <v>358</v>
      </c>
      <c r="L9" s="168">
        <v>44761</v>
      </c>
      <c r="M9" s="147">
        <f t="shared" si="0"/>
        <v>9</v>
      </c>
      <c r="P9" s="11" t="str">
        <f t="shared" si="1"/>
        <v>GYROMARSAT</v>
      </c>
    </row>
    <row r="10" spans="1:16" ht="16.5" hidden="1" customHeight="1" x14ac:dyDescent="0.2">
      <c r="B10" s="132" t="s">
        <v>1293</v>
      </c>
      <c r="C10" s="132" t="s">
        <v>1078</v>
      </c>
      <c r="D10" s="160"/>
      <c r="E10" s="149" t="s">
        <v>1076</v>
      </c>
      <c r="F10" s="156" t="s">
        <v>1038</v>
      </c>
      <c r="G10" s="143">
        <f>IF(B10="","",3)</f>
        <v>3</v>
      </c>
      <c r="H10" s="131" t="s">
        <v>79</v>
      </c>
      <c r="I10" s="131" t="s">
        <v>1077</v>
      </c>
      <c r="J10" s="139" t="s">
        <v>24</v>
      </c>
      <c r="K10" s="141" t="s">
        <v>358</v>
      </c>
      <c r="L10" s="168">
        <v>44765</v>
      </c>
      <c r="M10" s="147">
        <f t="shared" si="0"/>
        <v>5</v>
      </c>
      <c r="P10" s="11" t="str">
        <f t="shared" si="1"/>
        <v>NEXA</v>
      </c>
    </row>
    <row r="11" spans="1:16" ht="16.5" hidden="1" customHeight="1" x14ac:dyDescent="0.2">
      <c r="B11" s="132" t="s">
        <v>355</v>
      </c>
      <c r="C11" s="132" t="s">
        <v>1094</v>
      </c>
      <c r="D11" s="131" t="s">
        <v>1213</v>
      </c>
      <c r="E11" s="133" t="s">
        <v>1076</v>
      </c>
      <c r="F11" s="158" t="s">
        <v>1033</v>
      </c>
      <c r="G11" s="143">
        <f>IF(B11="","",3)</f>
        <v>3</v>
      </c>
      <c r="H11" s="131" t="s">
        <v>20</v>
      </c>
      <c r="I11" s="131" t="s">
        <v>1077</v>
      </c>
      <c r="J11" s="139" t="s">
        <v>40</v>
      </c>
      <c r="K11" s="141" t="s">
        <v>358</v>
      </c>
      <c r="L11" s="168">
        <v>44754</v>
      </c>
      <c r="M11" s="147">
        <f t="shared" si="0"/>
        <v>16</v>
      </c>
      <c r="P11" s="11" t="str">
        <f t="shared" si="1"/>
        <v xml:space="preserve">OIL STATES </v>
      </c>
    </row>
    <row r="12" spans="1:16" ht="16.5" hidden="1" customHeight="1" x14ac:dyDescent="0.2">
      <c r="B12" s="132" t="s">
        <v>1295</v>
      </c>
      <c r="C12" s="160" t="s">
        <v>1305</v>
      </c>
      <c r="D12" s="132"/>
      <c r="E12" s="133" t="s">
        <v>1141</v>
      </c>
      <c r="F12" s="156" t="s">
        <v>924</v>
      </c>
      <c r="G12" s="143">
        <f>IF(B12="","",1)</f>
        <v>1</v>
      </c>
      <c r="H12" s="131" t="s">
        <v>1069</v>
      </c>
      <c r="I12" s="131" t="s">
        <v>1077</v>
      </c>
      <c r="J12" s="139" t="s">
        <v>1065</v>
      </c>
      <c r="K12" s="141" t="s">
        <v>358</v>
      </c>
      <c r="L12" s="168">
        <v>44766</v>
      </c>
      <c r="M12" s="147">
        <f t="shared" si="0"/>
        <v>4</v>
      </c>
      <c r="P12" s="11" t="str">
        <f t="shared" si="1"/>
        <v xml:space="preserve">QUALITECH </v>
      </c>
    </row>
    <row r="13" spans="1:16" ht="16.5" hidden="1" customHeight="1" x14ac:dyDescent="0.2">
      <c r="B13" s="132" t="s">
        <v>175</v>
      </c>
      <c r="C13" s="132" t="s">
        <v>1199</v>
      </c>
      <c r="D13" s="131"/>
      <c r="E13" s="133" t="s">
        <v>1076</v>
      </c>
      <c r="F13" s="156" t="s">
        <v>1037</v>
      </c>
      <c r="G13" s="143">
        <f>IF(B13="","",2)</f>
        <v>2</v>
      </c>
      <c r="H13" s="131" t="s">
        <v>85</v>
      </c>
      <c r="I13" s="131" t="s">
        <v>1077</v>
      </c>
      <c r="J13" s="139" t="s">
        <v>38</v>
      </c>
      <c r="K13" s="141" t="s">
        <v>358</v>
      </c>
      <c r="L13" s="168">
        <v>44769</v>
      </c>
      <c r="M13" s="147">
        <f t="shared" si="0"/>
        <v>1</v>
      </c>
      <c r="P13" s="11" t="str">
        <f t="shared" si="1"/>
        <v xml:space="preserve">LIFE SAFETY </v>
      </c>
    </row>
    <row r="14" spans="1:16" ht="16.5" hidden="1" customHeight="1" x14ac:dyDescent="0.2">
      <c r="A14" s="1">
        <v>44663</v>
      </c>
      <c r="B14" s="132" t="s">
        <v>369</v>
      </c>
      <c r="C14" s="148" t="s">
        <v>1156</v>
      </c>
      <c r="D14" s="175"/>
      <c r="E14" s="133" t="s">
        <v>8</v>
      </c>
      <c r="F14" s="156" t="s">
        <v>950</v>
      </c>
      <c r="G14" s="143">
        <f>IF(B14="","",1)</f>
        <v>1</v>
      </c>
      <c r="H14" s="131" t="s">
        <v>17</v>
      </c>
      <c r="I14" s="131" t="s">
        <v>1090</v>
      </c>
      <c r="J14" s="139" t="s">
        <v>67</v>
      </c>
      <c r="K14" s="140" t="s">
        <v>8</v>
      </c>
      <c r="L14" s="168">
        <v>44767</v>
      </c>
      <c r="M14" s="51">
        <f t="shared" si="0"/>
        <v>3</v>
      </c>
      <c r="P14" s="11" t="str">
        <f t="shared" si="1"/>
        <v>IBP</v>
      </c>
    </row>
    <row r="15" spans="1:16" ht="16.5" hidden="1" customHeight="1" x14ac:dyDescent="0.2">
      <c r="B15" s="132" t="s">
        <v>1319</v>
      </c>
      <c r="C15" s="132" t="s">
        <v>1184</v>
      </c>
      <c r="D15" s="131"/>
      <c r="E15" s="133" t="s">
        <v>1076</v>
      </c>
      <c r="F15" s="156" t="s">
        <v>1014</v>
      </c>
      <c r="G15" s="143">
        <f>IF(B15="","",1)</f>
        <v>1</v>
      </c>
      <c r="H15" s="131" t="s">
        <v>82</v>
      </c>
      <c r="I15" s="131" t="s">
        <v>1077</v>
      </c>
      <c r="J15" s="139" t="s">
        <v>31</v>
      </c>
      <c r="K15" s="141" t="s">
        <v>358</v>
      </c>
      <c r="L15" s="168">
        <v>44767</v>
      </c>
      <c r="M15" s="147">
        <f t="shared" si="0"/>
        <v>3</v>
      </c>
      <c r="O15" s="1" t="s">
        <v>1073</v>
      </c>
      <c r="P15" s="11" t="str">
        <f t="shared" si="1"/>
        <v>CAMERON (Ocyan)</v>
      </c>
    </row>
    <row r="16" spans="1:16" ht="16.5" hidden="1" customHeight="1" x14ac:dyDescent="0.2">
      <c r="B16" s="134" t="s">
        <v>1263</v>
      </c>
      <c r="C16" s="134" t="s">
        <v>1131</v>
      </c>
      <c r="D16" s="136"/>
      <c r="E16" s="135" t="s">
        <v>1076</v>
      </c>
      <c r="F16" s="159" t="s">
        <v>883</v>
      </c>
      <c r="G16" s="145">
        <f>IF(B16="","",3)</f>
        <v>3</v>
      </c>
      <c r="H16" s="136" t="s">
        <v>79</v>
      </c>
      <c r="I16" s="136" t="s">
        <v>1077</v>
      </c>
      <c r="J16" s="138" t="s">
        <v>43</v>
      </c>
      <c r="K16" s="141" t="s">
        <v>358</v>
      </c>
      <c r="L16" s="168">
        <v>44756</v>
      </c>
      <c r="M16" s="147">
        <f t="shared" si="0"/>
        <v>14</v>
      </c>
      <c r="P16" s="11" t="str">
        <f t="shared" si="1"/>
        <v>ABYSS</v>
      </c>
    </row>
    <row r="17" spans="1:16" ht="16.5" hidden="1" customHeight="1" x14ac:dyDescent="0.2">
      <c r="B17" s="132" t="s">
        <v>351</v>
      </c>
      <c r="C17" s="148" t="s">
        <v>1161</v>
      </c>
      <c r="D17" s="175"/>
      <c r="E17" s="133" t="s">
        <v>1076</v>
      </c>
      <c r="F17" s="156" t="s">
        <v>1025</v>
      </c>
      <c r="G17" s="143">
        <f>IF(B17="","",3)</f>
        <v>3</v>
      </c>
      <c r="H17" s="131" t="s">
        <v>84</v>
      </c>
      <c r="I17" s="131" t="s">
        <v>1077</v>
      </c>
      <c r="J17" s="139" t="s">
        <v>35</v>
      </c>
      <c r="K17" s="141" t="s">
        <v>358</v>
      </c>
      <c r="L17" s="168">
        <v>44763</v>
      </c>
      <c r="M17" s="147">
        <f t="shared" si="0"/>
        <v>7</v>
      </c>
      <c r="P17" s="11" t="str">
        <f t="shared" si="1"/>
        <v>HEMOCLIN</v>
      </c>
    </row>
    <row r="18" spans="1:16" ht="16.5" hidden="1" customHeight="1" x14ac:dyDescent="0.2">
      <c r="B18" s="132" t="s">
        <v>209</v>
      </c>
      <c r="C18" s="148" t="s">
        <v>1119</v>
      </c>
      <c r="D18" s="131"/>
      <c r="E18" s="149" t="s">
        <v>1076</v>
      </c>
      <c r="F18" s="156" t="s">
        <v>1019</v>
      </c>
      <c r="G18" s="143">
        <f>IF(B18="","",1)</f>
        <v>1</v>
      </c>
      <c r="H18" s="131" t="s">
        <v>34</v>
      </c>
      <c r="I18" s="131" t="s">
        <v>1077</v>
      </c>
      <c r="J18" s="139" t="s">
        <v>34</v>
      </c>
      <c r="K18" s="141" t="s">
        <v>358</v>
      </c>
      <c r="L18" s="168">
        <v>44761</v>
      </c>
      <c r="M18" s="147">
        <f t="shared" si="0"/>
        <v>9</v>
      </c>
      <c r="P18" s="11" t="str">
        <f t="shared" si="1"/>
        <v>SSE</v>
      </c>
    </row>
    <row r="19" spans="1:16" ht="16.5" hidden="1" customHeight="1" x14ac:dyDescent="0.2">
      <c r="A19" s="1" t="s">
        <v>1056</v>
      </c>
      <c r="B19" s="132" t="s">
        <v>1276</v>
      </c>
      <c r="C19" s="132" t="s">
        <v>1216</v>
      </c>
      <c r="D19" s="131"/>
      <c r="E19" s="133" t="s">
        <v>1117</v>
      </c>
      <c r="F19" s="156" t="s">
        <v>954</v>
      </c>
      <c r="G19" s="143">
        <f>IF(B19="","",3)</f>
        <v>3</v>
      </c>
      <c r="H19" s="131" t="s">
        <v>1069</v>
      </c>
      <c r="I19" s="131" t="s">
        <v>1077</v>
      </c>
      <c r="J19" s="139" t="s">
        <v>19</v>
      </c>
      <c r="K19" s="141" t="s">
        <v>358</v>
      </c>
      <c r="L19" s="168">
        <v>44758</v>
      </c>
      <c r="M19" s="147">
        <f t="shared" si="0"/>
        <v>12</v>
      </c>
      <c r="P19" s="11" t="str">
        <f t="shared" si="1"/>
        <v>LIFTING</v>
      </c>
    </row>
    <row r="20" spans="1:16" ht="16.5" hidden="1" customHeight="1" x14ac:dyDescent="0.2">
      <c r="B20" s="134" t="s">
        <v>348</v>
      </c>
      <c r="C20" s="137" t="s">
        <v>1205</v>
      </c>
      <c r="D20" s="173"/>
      <c r="E20" s="135" t="s">
        <v>1076</v>
      </c>
      <c r="F20" s="157" t="s">
        <v>937</v>
      </c>
      <c r="G20" s="144">
        <f>IF(B20="","",2)</f>
        <v>2</v>
      </c>
      <c r="H20" s="136" t="s">
        <v>86</v>
      </c>
      <c r="I20" s="136" t="s">
        <v>1077</v>
      </c>
      <c r="J20" s="138" t="s">
        <v>18</v>
      </c>
      <c r="K20" s="141" t="s">
        <v>358</v>
      </c>
      <c r="L20" s="168">
        <v>44756</v>
      </c>
      <c r="M20" s="147">
        <f t="shared" si="0"/>
        <v>14</v>
      </c>
      <c r="P20" s="11" t="str">
        <f t="shared" si="1"/>
        <v>MAERSK H2S</v>
      </c>
    </row>
    <row r="21" spans="1:16" ht="16.5" hidden="1" customHeight="1" x14ac:dyDescent="0.2">
      <c r="B21" s="132" t="s">
        <v>171</v>
      </c>
      <c r="C21" s="148" t="s">
        <v>1144</v>
      </c>
      <c r="D21" s="175"/>
      <c r="E21" s="133" t="s">
        <v>1076</v>
      </c>
      <c r="F21" s="156" t="s">
        <v>925</v>
      </c>
      <c r="G21" s="143">
        <f>IF(B21="","",1)</f>
        <v>1</v>
      </c>
      <c r="H21" s="131" t="s">
        <v>82</v>
      </c>
      <c r="I21" s="131" t="s">
        <v>1077</v>
      </c>
      <c r="J21" s="139" t="s">
        <v>16</v>
      </c>
      <c r="K21" s="141" t="s">
        <v>358</v>
      </c>
      <c r="L21" s="168">
        <v>44762</v>
      </c>
      <c r="M21" s="147">
        <f t="shared" si="0"/>
        <v>8</v>
      </c>
      <c r="P21" s="11" t="str">
        <f t="shared" si="1"/>
        <v>MARFOOD</v>
      </c>
    </row>
    <row r="22" spans="1:16" ht="16.5" hidden="1" customHeight="1" x14ac:dyDescent="0.2">
      <c r="B22" s="132" t="s">
        <v>1220</v>
      </c>
      <c r="C22" s="148" t="s">
        <v>1221</v>
      </c>
      <c r="D22" s="175"/>
      <c r="E22" s="133" t="s">
        <v>1117</v>
      </c>
      <c r="F22" s="156" t="s">
        <v>988</v>
      </c>
      <c r="G22" s="143">
        <f>IF(B22="","",1)</f>
        <v>1</v>
      </c>
      <c r="H22" s="131" t="s">
        <v>1069</v>
      </c>
      <c r="I22" s="131" t="s">
        <v>1077</v>
      </c>
      <c r="J22" s="139" t="s">
        <v>21</v>
      </c>
      <c r="K22" s="142" t="s">
        <v>59</v>
      </c>
      <c r="L22" s="168">
        <v>44758</v>
      </c>
      <c r="M22" s="147">
        <f t="shared" si="0"/>
        <v>12</v>
      </c>
      <c r="P22" s="11" t="str">
        <f t="shared" si="1"/>
        <v>FRANKS</v>
      </c>
    </row>
    <row r="23" spans="1:16" ht="16.5" hidden="1" customHeight="1" x14ac:dyDescent="0.2">
      <c r="B23" s="134" t="s">
        <v>1211</v>
      </c>
      <c r="C23" s="154" t="s">
        <v>1112</v>
      </c>
      <c r="D23" s="177"/>
      <c r="E23" s="135" t="s">
        <v>59</v>
      </c>
      <c r="F23" s="159" t="s">
        <v>889</v>
      </c>
      <c r="G23" s="145">
        <f>IF(B23="","",1)</f>
        <v>1</v>
      </c>
      <c r="H23" s="136" t="s">
        <v>59</v>
      </c>
      <c r="I23" s="136" t="s">
        <v>1077</v>
      </c>
      <c r="J23" s="138" t="s">
        <v>49</v>
      </c>
      <c r="K23" s="142" t="s">
        <v>59</v>
      </c>
      <c r="L23" s="168">
        <v>44756</v>
      </c>
      <c r="M23" s="147">
        <f t="shared" si="0"/>
        <v>14</v>
      </c>
      <c r="P23" s="11" t="str">
        <f t="shared" si="1"/>
        <v>MHWIRTH</v>
      </c>
    </row>
    <row r="24" spans="1:16" ht="16.5" hidden="1" customHeight="1" x14ac:dyDescent="0.2">
      <c r="B24" s="132" t="s">
        <v>1201</v>
      </c>
      <c r="C24" s="132" t="s">
        <v>1137</v>
      </c>
      <c r="D24" s="175"/>
      <c r="E24" s="149" t="s">
        <v>1076</v>
      </c>
      <c r="F24" s="156" t="s">
        <v>1048</v>
      </c>
      <c r="G24" s="143">
        <f>IF(B24="","",3)</f>
        <v>3</v>
      </c>
      <c r="H24" s="131" t="s">
        <v>87</v>
      </c>
      <c r="I24" s="131" t="s">
        <v>1077</v>
      </c>
      <c r="J24" s="139" t="s">
        <v>1126</v>
      </c>
      <c r="K24" s="141" t="s">
        <v>358</v>
      </c>
      <c r="L24" s="168">
        <v>44755</v>
      </c>
      <c r="M24" s="147">
        <f t="shared" si="0"/>
        <v>15</v>
      </c>
      <c r="P24" s="11" t="str">
        <f t="shared" si="1"/>
        <v>CM COUTO</v>
      </c>
    </row>
    <row r="25" spans="1:16" ht="16.5" hidden="1" customHeight="1" x14ac:dyDescent="0.2">
      <c r="B25" s="132" t="s">
        <v>206</v>
      </c>
      <c r="C25" s="148" t="s">
        <v>1132</v>
      </c>
      <c r="D25" s="132" t="s">
        <v>1341</v>
      </c>
      <c r="E25" s="133" t="s">
        <v>1076</v>
      </c>
      <c r="F25" s="156" t="s">
        <v>1052</v>
      </c>
      <c r="G25" s="143">
        <f>IF(B25="","",3)</f>
        <v>3</v>
      </c>
      <c r="H25" s="131" t="s">
        <v>80</v>
      </c>
      <c r="I25" s="131" t="s">
        <v>1077</v>
      </c>
      <c r="J25" s="139" t="s">
        <v>1065</v>
      </c>
      <c r="K25" s="141" t="s">
        <v>358</v>
      </c>
      <c r="L25" s="168">
        <v>44768</v>
      </c>
      <c r="M25" s="147">
        <f t="shared" si="0"/>
        <v>2</v>
      </c>
      <c r="P25" s="11" t="str">
        <f t="shared" si="1"/>
        <v>OCYAN-SI</v>
      </c>
    </row>
    <row r="26" spans="1:16" ht="16.5" hidden="1" customHeight="1" x14ac:dyDescent="0.2">
      <c r="B26" s="132" t="s">
        <v>1375</v>
      </c>
      <c r="C26" s="148" t="s">
        <v>109</v>
      </c>
      <c r="D26" s="132" t="s">
        <v>1349</v>
      </c>
      <c r="E26" s="133" t="s">
        <v>1076</v>
      </c>
      <c r="F26" s="156" t="s">
        <v>1021</v>
      </c>
      <c r="G26" s="143">
        <f>IF(B26="","",3)</f>
        <v>3</v>
      </c>
      <c r="H26" s="131" t="s">
        <v>84</v>
      </c>
      <c r="I26" s="131" t="s">
        <v>1077</v>
      </c>
      <c r="J26" s="139" t="s">
        <v>35</v>
      </c>
      <c r="K26" s="141" t="s">
        <v>358</v>
      </c>
      <c r="L26" s="168">
        <v>44768</v>
      </c>
      <c r="M26" s="147">
        <f t="shared" si="0"/>
        <v>2</v>
      </c>
      <c r="P26" s="11" t="str">
        <f t="shared" si="1"/>
        <v>CAPROCK</v>
      </c>
    </row>
    <row r="27" spans="1:16" ht="16.5" hidden="1" customHeight="1" x14ac:dyDescent="0.2">
      <c r="B27" s="132" t="s">
        <v>345</v>
      </c>
      <c r="C27" s="160" t="s">
        <v>1088</v>
      </c>
      <c r="D27" s="174"/>
      <c r="E27" s="149" t="s">
        <v>1076</v>
      </c>
      <c r="F27" s="156" t="s">
        <v>1003</v>
      </c>
      <c r="G27" s="143">
        <f>IF(B27="","",2)</f>
        <v>2</v>
      </c>
      <c r="H27" s="131" t="s">
        <v>80</v>
      </c>
      <c r="I27" s="131" t="s">
        <v>1077</v>
      </c>
      <c r="J27" s="139" t="s">
        <v>27</v>
      </c>
      <c r="K27" s="141" t="s">
        <v>358</v>
      </c>
      <c r="L27" s="168">
        <v>44761</v>
      </c>
      <c r="M27" s="147">
        <f t="shared" si="0"/>
        <v>9</v>
      </c>
      <c r="P27" s="11" t="str">
        <f t="shared" si="1"/>
        <v>SUBSEA 7</v>
      </c>
    </row>
    <row r="28" spans="1:16" ht="16.5" hidden="1" customHeight="1" x14ac:dyDescent="0.2">
      <c r="B28" s="132" t="s">
        <v>1364</v>
      </c>
      <c r="C28" s="148" t="s">
        <v>1136</v>
      </c>
      <c r="D28" s="175"/>
      <c r="E28" s="149" t="s">
        <v>1076</v>
      </c>
      <c r="F28" s="156" t="s">
        <v>1026</v>
      </c>
      <c r="G28" s="143">
        <f>IF(B28="","",3)</f>
        <v>3</v>
      </c>
      <c r="H28" s="131" t="s">
        <v>83</v>
      </c>
      <c r="I28" s="131" t="s">
        <v>1077</v>
      </c>
      <c r="J28" s="139" t="s">
        <v>36</v>
      </c>
      <c r="K28" s="141" t="s">
        <v>358</v>
      </c>
      <c r="L28" s="168">
        <v>44769</v>
      </c>
      <c r="M28" s="51">
        <f t="shared" si="0"/>
        <v>1</v>
      </c>
      <c r="P28" s="11" t="str">
        <f t="shared" si="1"/>
        <v>SCHLUMBERGER (Ocyan)</v>
      </c>
    </row>
    <row r="29" spans="1:16" ht="16.5" hidden="1" customHeight="1" x14ac:dyDescent="0.2">
      <c r="B29" s="132" t="s">
        <v>1345</v>
      </c>
      <c r="C29" s="132" t="s">
        <v>1346</v>
      </c>
      <c r="D29" s="131"/>
      <c r="E29" s="133" t="s">
        <v>59</v>
      </c>
      <c r="F29" s="156" t="s">
        <v>998</v>
      </c>
      <c r="G29" s="143">
        <f>IF(B29="","",3)</f>
        <v>3</v>
      </c>
      <c r="H29" s="131" t="s">
        <v>59</v>
      </c>
      <c r="I29" s="131" t="s">
        <v>1077</v>
      </c>
      <c r="J29" s="181" t="s">
        <v>1154</v>
      </c>
      <c r="K29" s="142" t="s">
        <v>59</v>
      </c>
      <c r="L29" s="168">
        <v>44768</v>
      </c>
      <c r="M29" s="147">
        <f t="shared" si="0"/>
        <v>2</v>
      </c>
      <c r="P29" s="11" t="str">
        <f t="shared" si="1"/>
        <v>MASTER</v>
      </c>
    </row>
    <row r="30" spans="1:16" ht="16.5" hidden="1" customHeight="1" x14ac:dyDescent="0.2">
      <c r="B30" s="132" t="s">
        <v>341</v>
      </c>
      <c r="C30" s="132" t="s">
        <v>1174</v>
      </c>
      <c r="D30" s="174"/>
      <c r="E30" s="155" t="s">
        <v>1076</v>
      </c>
      <c r="F30" s="156" t="s">
        <v>1004</v>
      </c>
      <c r="G30" s="143">
        <f>IF(B30="","",2)</f>
        <v>2</v>
      </c>
      <c r="H30" s="131" t="s">
        <v>80</v>
      </c>
      <c r="I30" s="131" t="s">
        <v>1077</v>
      </c>
      <c r="J30" s="139" t="s">
        <v>28</v>
      </c>
      <c r="K30" s="141" t="s">
        <v>358</v>
      </c>
      <c r="L30" s="168">
        <v>44761</v>
      </c>
      <c r="M30" s="147">
        <f t="shared" si="0"/>
        <v>9</v>
      </c>
      <c r="P30" s="11" t="str">
        <f t="shared" si="1"/>
        <v>SEAL INSPECTION</v>
      </c>
    </row>
    <row r="31" spans="1:16" ht="16.5" hidden="1" customHeight="1" x14ac:dyDescent="0.2">
      <c r="B31" s="132" t="s">
        <v>1296</v>
      </c>
      <c r="C31" s="148" t="s">
        <v>1316</v>
      </c>
      <c r="D31" s="175"/>
      <c r="E31" s="133" t="s">
        <v>1146</v>
      </c>
      <c r="F31" s="156" t="s">
        <v>955</v>
      </c>
      <c r="G31" s="143">
        <f>IF(B31="","",3)</f>
        <v>3</v>
      </c>
      <c r="H31" s="131" t="s">
        <v>1069</v>
      </c>
      <c r="I31" s="131" t="s">
        <v>1077</v>
      </c>
      <c r="J31" s="139" t="s">
        <v>19</v>
      </c>
      <c r="K31" s="141" t="s">
        <v>358</v>
      </c>
      <c r="L31" s="168">
        <v>44766</v>
      </c>
      <c r="M31" s="51">
        <f t="shared" si="0"/>
        <v>4</v>
      </c>
      <c r="P31" s="11" t="str">
        <f t="shared" si="1"/>
        <v>QUALITECH</v>
      </c>
    </row>
    <row r="32" spans="1:16" ht="16.5" hidden="1" customHeight="1" x14ac:dyDescent="0.2">
      <c r="B32" s="132" t="s">
        <v>1320</v>
      </c>
      <c r="C32" s="160" t="s">
        <v>1332</v>
      </c>
      <c r="D32" s="174"/>
      <c r="E32" s="133" t="s">
        <v>1105</v>
      </c>
      <c r="F32" s="156" t="s">
        <v>909</v>
      </c>
      <c r="G32" s="143">
        <f>IF(B32="","",2)</f>
        <v>2</v>
      </c>
      <c r="H32" s="131" t="s">
        <v>1069</v>
      </c>
      <c r="I32" s="131" t="s">
        <v>1077</v>
      </c>
      <c r="J32" s="139" t="s">
        <v>9</v>
      </c>
      <c r="K32" s="141" t="s">
        <v>358</v>
      </c>
      <c r="L32" s="168">
        <v>44767</v>
      </c>
      <c r="M32" s="147">
        <f t="shared" si="0"/>
        <v>3</v>
      </c>
      <c r="P32" s="11" t="str">
        <f t="shared" si="1"/>
        <v>SIEMENS</v>
      </c>
    </row>
    <row r="33" spans="2:16" ht="15.75" hidden="1" customHeight="1" x14ac:dyDescent="0.2">
      <c r="B33" s="134" t="s">
        <v>337</v>
      </c>
      <c r="C33" s="163" t="s">
        <v>1180</v>
      </c>
      <c r="D33" s="178"/>
      <c r="E33" s="135" t="s">
        <v>1076</v>
      </c>
      <c r="F33" s="157" t="s">
        <v>901</v>
      </c>
      <c r="G33" s="145">
        <f>IF(B33="","",3)</f>
        <v>3</v>
      </c>
      <c r="H33" s="136" t="s">
        <v>20</v>
      </c>
      <c r="I33" s="136" t="s">
        <v>1077</v>
      </c>
      <c r="J33" s="138" t="s">
        <v>48</v>
      </c>
      <c r="K33" s="141" t="s">
        <v>358</v>
      </c>
      <c r="L33" s="168">
        <v>44763</v>
      </c>
      <c r="M33" s="147">
        <f t="shared" si="0"/>
        <v>7</v>
      </c>
      <c r="P33" s="11" t="str">
        <f t="shared" si="1"/>
        <v>ALIMAK</v>
      </c>
    </row>
    <row r="34" spans="2:16" ht="16.5" hidden="1" customHeight="1" x14ac:dyDescent="0.2">
      <c r="B34" s="132" t="s">
        <v>197</v>
      </c>
      <c r="C34" s="132" t="s">
        <v>109</v>
      </c>
      <c r="D34" s="175"/>
      <c r="E34" s="133" t="s">
        <v>1076</v>
      </c>
      <c r="F34" s="156" t="s">
        <v>917</v>
      </c>
      <c r="G34" s="143">
        <f>IF(B34="","",1)</f>
        <v>1</v>
      </c>
      <c r="H34" s="131" t="s">
        <v>80</v>
      </c>
      <c r="I34" s="131" t="s">
        <v>1077</v>
      </c>
      <c r="J34" s="139" t="s">
        <v>10</v>
      </c>
      <c r="K34" s="141" t="s">
        <v>358</v>
      </c>
      <c r="L34" s="168">
        <v>44761</v>
      </c>
      <c r="M34" s="147">
        <f t="shared" si="0"/>
        <v>9</v>
      </c>
      <c r="P34" s="11" t="str">
        <f t="shared" si="1"/>
        <v>TRAUME</v>
      </c>
    </row>
    <row r="35" spans="2:16" ht="15.75" hidden="1" customHeight="1" x14ac:dyDescent="0.2">
      <c r="B35" s="132" t="s">
        <v>1265</v>
      </c>
      <c r="C35" s="148" t="s">
        <v>1266</v>
      </c>
      <c r="D35" s="131"/>
      <c r="E35" s="149" t="s">
        <v>112</v>
      </c>
      <c r="F35" s="156" t="s">
        <v>927</v>
      </c>
      <c r="G35" s="143">
        <f>IF(B35="","",2)</f>
        <v>2</v>
      </c>
      <c r="H35" s="131" t="s">
        <v>1069</v>
      </c>
      <c r="I35" s="131" t="s">
        <v>1077</v>
      </c>
      <c r="J35" s="139" t="s">
        <v>116</v>
      </c>
      <c r="K35" s="141" t="s">
        <v>358</v>
      </c>
      <c r="L35" s="168">
        <v>44763</v>
      </c>
      <c r="M35" s="147">
        <f t="shared" si="0"/>
        <v>7</v>
      </c>
      <c r="P35" s="11" t="str">
        <f t="shared" si="1"/>
        <v>GE (Ocyan)</v>
      </c>
    </row>
    <row r="36" spans="2:16" ht="16.5" hidden="1" customHeight="1" x14ac:dyDescent="0.2">
      <c r="B36" s="134" t="s">
        <v>1273</v>
      </c>
      <c r="C36" s="150" t="s">
        <v>1138</v>
      </c>
      <c r="D36" s="176"/>
      <c r="E36" s="151" t="s">
        <v>1121</v>
      </c>
      <c r="F36" s="157" t="s">
        <v>903</v>
      </c>
      <c r="G36" s="145">
        <f>IF(B36="","",1)</f>
        <v>1</v>
      </c>
      <c r="H36" s="136" t="s">
        <v>89</v>
      </c>
      <c r="I36" s="136" t="s">
        <v>1090</v>
      </c>
      <c r="J36" s="138" t="s">
        <v>49</v>
      </c>
      <c r="K36" s="142" t="s">
        <v>59</v>
      </c>
      <c r="L36" s="168">
        <v>44763</v>
      </c>
      <c r="M36" s="147">
        <f t="shared" si="0"/>
        <v>7</v>
      </c>
      <c r="P36" s="11" t="str">
        <f t="shared" si="1"/>
        <v>NOV</v>
      </c>
    </row>
    <row r="37" spans="2:16" ht="16.5" hidden="1" customHeight="1" x14ac:dyDescent="0.2">
      <c r="B37" s="132" t="s">
        <v>1206</v>
      </c>
      <c r="C37" s="148" t="s">
        <v>1157</v>
      </c>
      <c r="D37" s="131"/>
      <c r="E37" s="155" t="s">
        <v>93</v>
      </c>
      <c r="F37" s="156" t="s">
        <v>969</v>
      </c>
      <c r="G37" s="143">
        <f>IF(B37="","",3)</f>
        <v>3</v>
      </c>
      <c r="H37" s="131" t="s">
        <v>89</v>
      </c>
      <c r="I37" s="131" t="s">
        <v>1077</v>
      </c>
      <c r="J37" s="139" t="s">
        <v>1066</v>
      </c>
      <c r="K37" s="141" t="s">
        <v>358</v>
      </c>
      <c r="L37" s="168">
        <v>44756</v>
      </c>
      <c r="M37" s="147">
        <f t="shared" ref="M37:M68" si="2">IF(L37="","",$K$3-L37+1)</f>
        <v>14</v>
      </c>
      <c r="P37" s="11" t="str">
        <f t="shared" si="1"/>
        <v>WEATHERFORD (Ocyan)</v>
      </c>
    </row>
    <row r="38" spans="2:16" ht="16.5" hidden="1" customHeight="1" x14ac:dyDescent="0.2">
      <c r="B38" s="132" t="s">
        <v>1288</v>
      </c>
      <c r="C38" s="160" t="s">
        <v>1193</v>
      </c>
      <c r="D38" s="174"/>
      <c r="E38" s="149" t="s">
        <v>99</v>
      </c>
      <c r="F38" s="156" t="s">
        <v>975</v>
      </c>
      <c r="G38" s="143">
        <f>IF(B38="","",3)</f>
        <v>3</v>
      </c>
      <c r="H38" s="131" t="s">
        <v>1069</v>
      </c>
      <c r="I38" s="131" t="s">
        <v>1077</v>
      </c>
      <c r="J38" s="139" t="s">
        <v>1116</v>
      </c>
      <c r="K38" s="142" t="s">
        <v>59</v>
      </c>
      <c r="L38" s="168">
        <v>44765</v>
      </c>
      <c r="M38" s="147">
        <f t="shared" si="2"/>
        <v>5</v>
      </c>
      <c r="P38" s="11" t="str">
        <f t="shared" ref="P38:P53" si="3">L205</f>
        <v>PETROBRAS</v>
      </c>
    </row>
    <row r="39" spans="2:16" ht="16.5" hidden="1" customHeight="1" x14ac:dyDescent="0.2">
      <c r="B39" s="132" t="s">
        <v>125</v>
      </c>
      <c r="C39" s="148" t="s">
        <v>1106</v>
      </c>
      <c r="D39" s="161"/>
      <c r="E39" s="133" t="s">
        <v>1076</v>
      </c>
      <c r="F39" s="156" t="s">
        <v>923</v>
      </c>
      <c r="G39" s="143">
        <f>IF(B39="","",3)</f>
        <v>3</v>
      </c>
      <c r="H39" s="131" t="s">
        <v>79</v>
      </c>
      <c r="I39" s="131" t="s">
        <v>1077</v>
      </c>
      <c r="J39" s="139" t="s">
        <v>11</v>
      </c>
      <c r="K39" s="141" t="s">
        <v>358</v>
      </c>
      <c r="L39" s="168">
        <v>44762</v>
      </c>
      <c r="M39" s="147">
        <f t="shared" si="2"/>
        <v>8</v>
      </c>
      <c r="P39" s="11" t="str">
        <f t="shared" si="3"/>
        <v>AKER BR</v>
      </c>
    </row>
    <row r="40" spans="2:16" ht="16.5" hidden="1" customHeight="1" x14ac:dyDescent="0.2">
      <c r="B40" s="132" t="s">
        <v>1224</v>
      </c>
      <c r="C40" s="132" t="s">
        <v>1151</v>
      </c>
      <c r="D40" s="131"/>
      <c r="E40" s="133" t="s">
        <v>1064</v>
      </c>
      <c r="F40" s="156" t="s">
        <v>908</v>
      </c>
      <c r="G40" s="143">
        <f>IF(B40="","",2)</f>
        <v>2</v>
      </c>
      <c r="H40" s="131" t="s">
        <v>1069</v>
      </c>
      <c r="I40" s="131" t="s">
        <v>1077</v>
      </c>
      <c r="J40" s="139" t="s">
        <v>9</v>
      </c>
      <c r="K40" s="141" t="s">
        <v>358</v>
      </c>
      <c r="L40" s="168">
        <v>44759</v>
      </c>
      <c r="M40" s="171">
        <f t="shared" si="2"/>
        <v>11</v>
      </c>
      <c r="P40" s="11" t="str">
        <f t="shared" si="3"/>
        <v>ANP</v>
      </c>
    </row>
    <row r="41" spans="2:16" ht="16.5" hidden="1" customHeight="1" x14ac:dyDescent="0.2">
      <c r="B41" s="132" t="s">
        <v>661</v>
      </c>
      <c r="C41" s="148" t="s">
        <v>1178</v>
      </c>
      <c r="D41" s="161"/>
      <c r="E41" s="133" t="s">
        <v>1064</v>
      </c>
      <c r="F41" s="156" t="s">
        <v>945</v>
      </c>
      <c r="G41" s="143">
        <f>IF(B41="","",2)</f>
        <v>2</v>
      </c>
      <c r="H41" s="131" t="s">
        <v>1069</v>
      </c>
      <c r="I41" s="131" t="s">
        <v>1077</v>
      </c>
      <c r="J41" s="139" t="s">
        <v>1065</v>
      </c>
      <c r="K41" s="141" t="s">
        <v>358</v>
      </c>
      <c r="L41" s="168">
        <v>44760</v>
      </c>
      <c r="M41" s="147">
        <f t="shared" si="2"/>
        <v>10</v>
      </c>
      <c r="P41" s="11" t="str">
        <f t="shared" si="3"/>
        <v>BAKER HUGHES</v>
      </c>
    </row>
    <row r="42" spans="2:16" ht="16.5" hidden="1" customHeight="1" x14ac:dyDescent="0.2">
      <c r="B42" s="132" t="s">
        <v>335</v>
      </c>
      <c r="C42" s="148" t="s">
        <v>110</v>
      </c>
      <c r="D42" s="131"/>
      <c r="E42" s="133" t="s">
        <v>1076</v>
      </c>
      <c r="F42" s="156" t="s">
        <v>1009</v>
      </c>
      <c r="G42" s="143">
        <f>IF(B42="","",1)</f>
        <v>1</v>
      </c>
      <c r="H42" s="131" t="s">
        <v>80</v>
      </c>
      <c r="I42" s="131" t="s">
        <v>1077</v>
      </c>
      <c r="J42" s="139" t="s">
        <v>28</v>
      </c>
      <c r="K42" s="141" t="s">
        <v>358</v>
      </c>
      <c r="L42" s="168">
        <v>44761</v>
      </c>
      <c r="M42" s="147">
        <f t="shared" si="2"/>
        <v>9</v>
      </c>
      <c r="P42" s="11" t="str">
        <f t="shared" si="3"/>
        <v>BJ</v>
      </c>
    </row>
    <row r="43" spans="2:16" ht="16.5" hidden="1" customHeight="1" x14ac:dyDescent="0.2">
      <c r="B43" s="132" t="s">
        <v>1239</v>
      </c>
      <c r="C43" s="132" t="s">
        <v>1143</v>
      </c>
      <c r="D43" s="131"/>
      <c r="E43" s="133" t="s">
        <v>93</v>
      </c>
      <c r="F43" s="156" t="s">
        <v>957</v>
      </c>
      <c r="G43" s="143">
        <f>IF(B43="","",1)</f>
        <v>1</v>
      </c>
      <c r="H43" s="131" t="s">
        <v>89</v>
      </c>
      <c r="I43" s="131" t="s">
        <v>1077</v>
      </c>
      <c r="J43" s="139" t="s">
        <v>1065</v>
      </c>
      <c r="K43" s="141" t="s">
        <v>358</v>
      </c>
      <c r="L43" s="168">
        <v>44760</v>
      </c>
      <c r="M43" s="147">
        <f t="shared" si="2"/>
        <v>10</v>
      </c>
      <c r="P43" s="11" t="str">
        <f t="shared" si="3"/>
        <v>DRIL-QUIP</v>
      </c>
    </row>
    <row r="44" spans="2:16" ht="16.5" hidden="1" customHeight="1" x14ac:dyDescent="0.2">
      <c r="B44" s="132" t="s">
        <v>1362</v>
      </c>
      <c r="C44" s="148" t="s">
        <v>1199</v>
      </c>
      <c r="D44" s="131" t="s">
        <v>1134</v>
      </c>
      <c r="E44" s="133" t="s">
        <v>1076</v>
      </c>
      <c r="F44" s="156" t="s">
        <v>1020</v>
      </c>
      <c r="G44" s="143">
        <f>IF(B44="","",3)</f>
        <v>3</v>
      </c>
      <c r="H44" s="131" t="s">
        <v>81</v>
      </c>
      <c r="I44" s="131" t="s">
        <v>1077</v>
      </c>
      <c r="J44" s="139" t="s">
        <v>35</v>
      </c>
      <c r="K44" s="191" t="s">
        <v>358</v>
      </c>
      <c r="L44" s="168">
        <v>44748</v>
      </c>
      <c r="M44" s="147">
        <f t="shared" si="2"/>
        <v>22</v>
      </c>
      <c r="P44" s="11" t="str">
        <f t="shared" si="3"/>
        <v>DYNAMIC AIR</v>
      </c>
    </row>
    <row r="45" spans="2:16" ht="16.5" hidden="1" customHeight="1" x14ac:dyDescent="0.2">
      <c r="B45" s="132" t="s">
        <v>1270</v>
      </c>
      <c r="C45" s="160" t="s">
        <v>1098</v>
      </c>
      <c r="D45" s="131"/>
      <c r="E45" s="133" t="s">
        <v>1076</v>
      </c>
      <c r="F45" s="156" t="s">
        <v>1015</v>
      </c>
      <c r="G45" s="143">
        <f>IF(B45="","",1)</f>
        <v>1</v>
      </c>
      <c r="H45" s="131" t="s">
        <v>82</v>
      </c>
      <c r="I45" s="131" t="s">
        <v>1077</v>
      </c>
      <c r="J45" s="139" t="s">
        <v>25</v>
      </c>
      <c r="K45" s="191" t="s">
        <v>358</v>
      </c>
      <c r="L45" s="166">
        <v>44763</v>
      </c>
      <c r="M45" s="147">
        <f t="shared" si="2"/>
        <v>7</v>
      </c>
      <c r="P45" s="11" t="str">
        <f t="shared" si="3"/>
        <v>PUC</v>
      </c>
    </row>
    <row r="46" spans="2:16" ht="16.5" hidden="1" customHeight="1" x14ac:dyDescent="0.2">
      <c r="B46" s="132" t="s">
        <v>1290</v>
      </c>
      <c r="C46" s="132" t="s">
        <v>1162</v>
      </c>
      <c r="D46" s="131"/>
      <c r="E46" s="133" t="s">
        <v>93</v>
      </c>
      <c r="F46" s="156" t="s">
        <v>995</v>
      </c>
      <c r="G46" s="143">
        <f>IF(B46="","",3)</f>
        <v>3</v>
      </c>
      <c r="H46" s="131" t="s">
        <v>89</v>
      </c>
      <c r="I46" s="131" t="s">
        <v>1077</v>
      </c>
      <c r="J46" s="139" t="s">
        <v>107</v>
      </c>
      <c r="K46" s="194" t="s">
        <v>59</v>
      </c>
      <c r="L46" s="166">
        <v>44765</v>
      </c>
      <c r="M46" s="147">
        <f t="shared" si="2"/>
        <v>5</v>
      </c>
      <c r="P46" s="11" t="str">
        <f t="shared" si="3"/>
        <v>EXPRO</v>
      </c>
    </row>
    <row r="47" spans="2:16" ht="16.5" hidden="1" customHeight="1" x14ac:dyDescent="0.2">
      <c r="B47" s="132" t="s">
        <v>1335</v>
      </c>
      <c r="C47" s="132" t="s">
        <v>1306</v>
      </c>
      <c r="D47" s="131"/>
      <c r="E47" s="133" t="s">
        <v>1141</v>
      </c>
      <c r="F47" s="156" t="s">
        <v>896</v>
      </c>
      <c r="G47" s="146">
        <f>IF(B47="","",3)</f>
        <v>3</v>
      </c>
      <c r="H47" s="131" t="s">
        <v>1069</v>
      </c>
      <c r="I47" s="131" t="s">
        <v>1077</v>
      </c>
      <c r="J47" s="139" t="s">
        <v>1066</v>
      </c>
      <c r="K47" s="141" t="s">
        <v>358</v>
      </c>
      <c r="L47" s="168">
        <v>44766</v>
      </c>
      <c r="M47" s="147">
        <f t="shared" si="2"/>
        <v>4</v>
      </c>
      <c r="P47" s="11" t="str">
        <f t="shared" si="3"/>
        <v>FMC</v>
      </c>
    </row>
    <row r="48" spans="2:16" ht="16.5" hidden="1" customHeight="1" x14ac:dyDescent="0.2">
      <c r="B48" s="132" t="s">
        <v>398</v>
      </c>
      <c r="C48" s="148" t="s">
        <v>1078</v>
      </c>
      <c r="D48" s="131"/>
      <c r="E48" s="133" t="s">
        <v>1076</v>
      </c>
      <c r="F48" s="156" t="s">
        <v>972</v>
      </c>
      <c r="G48" s="143">
        <f>IF(B48="","",3)</f>
        <v>3</v>
      </c>
      <c r="H48" s="131" t="s">
        <v>79</v>
      </c>
      <c r="I48" s="131" t="s">
        <v>1077</v>
      </c>
      <c r="J48" s="139" t="s">
        <v>1124</v>
      </c>
      <c r="K48" s="141" t="s">
        <v>358</v>
      </c>
      <c r="L48" s="168">
        <v>44765</v>
      </c>
      <c r="M48" s="147">
        <f t="shared" si="2"/>
        <v>5</v>
      </c>
      <c r="P48" s="11" t="str">
        <f t="shared" si="3"/>
        <v>GE OIL &amp; GAS</v>
      </c>
    </row>
    <row r="49" spans="2:16" ht="16.5" hidden="1" customHeight="1" x14ac:dyDescent="0.2">
      <c r="B49" s="132" t="s">
        <v>1279</v>
      </c>
      <c r="C49" s="148" t="s">
        <v>1280</v>
      </c>
      <c r="D49" s="175"/>
      <c r="E49" s="133" t="s">
        <v>1076</v>
      </c>
      <c r="F49" s="156" t="s">
        <v>914</v>
      </c>
      <c r="G49" s="143">
        <f>IF(B49="","",1)</f>
        <v>1</v>
      </c>
      <c r="H49" s="131" t="s">
        <v>79</v>
      </c>
      <c r="I49" s="131" t="s">
        <v>1077</v>
      </c>
      <c r="J49" s="139" t="s">
        <v>10</v>
      </c>
      <c r="K49" s="141" t="s">
        <v>358</v>
      </c>
      <c r="L49" s="168">
        <v>44765</v>
      </c>
      <c r="M49" s="147">
        <f t="shared" si="2"/>
        <v>5</v>
      </c>
      <c r="P49" s="11" t="str">
        <f t="shared" si="3"/>
        <v>GEOLOG</v>
      </c>
    </row>
    <row r="50" spans="2:16" ht="16.5" hidden="1" customHeight="1" x14ac:dyDescent="0.2">
      <c r="B50" s="132" t="s">
        <v>329</v>
      </c>
      <c r="C50" s="148" t="s">
        <v>1341</v>
      </c>
      <c r="D50" s="148" t="s">
        <v>110</v>
      </c>
      <c r="E50" s="133" t="s">
        <v>1076</v>
      </c>
      <c r="F50" s="156" t="s">
        <v>1002</v>
      </c>
      <c r="G50" s="143">
        <f>IF(B50="","",2)</f>
        <v>2</v>
      </c>
      <c r="H50" s="131" t="s">
        <v>80</v>
      </c>
      <c r="I50" s="131" t="s">
        <v>1077</v>
      </c>
      <c r="J50" s="139" t="s">
        <v>27</v>
      </c>
      <c r="K50" s="141" t="s">
        <v>358</v>
      </c>
      <c r="L50" s="168">
        <v>44768</v>
      </c>
      <c r="M50" s="147">
        <f t="shared" si="2"/>
        <v>2</v>
      </c>
      <c r="P50" s="11" t="str">
        <f t="shared" si="3"/>
        <v>GYRODATA</v>
      </c>
    </row>
    <row r="51" spans="2:16" ht="16.5" hidden="1" customHeight="1" x14ac:dyDescent="0.2">
      <c r="B51" s="132" t="s">
        <v>1353</v>
      </c>
      <c r="C51" s="148" t="s">
        <v>1144</v>
      </c>
      <c r="D51" s="175"/>
      <c r="E51" s="133" t="s">
        <v>1076</v>
      </c>
      <c r="F51" s="156" t="s">
        <v>926</v>
      </c>
      <c r="G51" s="143">
        <f>IF(B51="","",1)</f>
        <v>1</v>
      </c>
      <c r="H51" s="131" t="s">
        <v>82</v>
      </c>
      <c r="I51" s="131" t="s">
        <v>1077</v>
      </c>
      <c r="J51" s="139" t="s">
        <v>16</v>
      </c>
      <c r="K51" s="141" t="s">
        <v>358</v>
      </c>
      <c r="L51" s="168">
        <v>44769</v>
      </c>
      <c r="M51" s="147">
        <f t="shared" si="2"/>
        <v>1</v>
      </c>
      <c r="P51" s="11" t="str">
        <f t="shared" si="3"/>
        <v>HALLIBURTON</v>
      </c>
    </row>
    <row r="52" spans="2:16" ht="16.5" hidden="1" customHeight="1" x14ac:dyDescent="0.2">
      <c r="B52" s="132" t="s">
        <v>1232</v>
      </c>
      <c r="C52" s="132" t="s">
        <v>1158</v>
      </c>
      <c r="D52" s="131"/>
      <c r="E52" s="133" t="s">
        <v>1064</v>
      </c>
      <c r="F52" s="156" t="s">
        <v>986</v>
      </c>
      <c r="G52" s="143">
        <f>IF(B52="","",3)</f>
        <v>3</v>
      </c>
      <c r="H52" s="131" t="s">
        <v>1069</v>
      </c>
      <c r="I52" s="131" t="s">
        <v>1077</v>
      </c>
      <c r="J52" s="139" t="s">
        <v>21</v>
      </c>
      <c r="K52" s="142" t="s">
        <v>59</v>
      </c>
      <c r="L52" s="168">
        <v>44759</v>
      </c>
      <c r="M52" s="147">
        <f t="shared" si="2"/>
        <v>11</v>
      </c>
      <c r="P52" s="11" t="str">
        <f t="shared" si="3"/>
        <v>BUREAU VERITAS (BR)</v>
      </c>
    </row>
    <row r="53" spans="2:16" ht="16.5" hidden="1" customHeight="1" x14ac:dyDescent="0.2">
      <c r="B53" s="132" t="s">
        <v>1249</v>
      </c>
      <c r="C53" s="132" t="s">
        <v>109</v>
      </c>
      <c r="D53" s="132"/>
      <c r="E53" s="149" t="s">
        <v>1076</v>
      </c>
      <c r="F53" s="156" t="s">
        <v>912</v>
      </c>
      <c r="G53" s="143">
        <f>IF(B53="","",1)</f>
        <v>1</v>
      </c>
      <c r="H53" s="131" t="s">
        <v>80</v>
      </c>
      <c r="I53" s="131" t="s">
        <v>1077</v>
      </c>
      <c r="J53" s="139" t="s">
        <v>9</v>
      </c>
      <c r="K53" s="141" t="s">
        <v>358</v>
      </c>
      <c r="L53" s="168">
        <v>44761</v>
      </c>
      <c r="M53" s="147">
        <f t="shared" si="2"/>
        <v>9</v>
      </c>
      <c r="P53" s="11" t="str">
        <f t="shared" si="3"/>
        <v>SMITH</v>
      </c>
    </row>
    <row r="54" spans="2:16" ht="16.5" hidden="1" customHeight="1" x14ac:dyDescent="0.2">
      <c r="B54" s="132" t="s">
        <v>190</v>
      </c>
      <c r="C54" s="148" t="s">
        <v>1177</v>
      </c>
      <c r="D54" s="175"/>
      <c r="E54" s="133" t="s">
        <v>8</v>
      </c>
      <c r="F54" s="156" t="s">
        <v>929</v>
      </c>
      <c r="G54" s="143">
        <f>IF(B54="","",1)</f>
        <v>1</v>
      </c>
      <c r="H54" s="131" t="s">
        <v>17</v>
      </c>
      <c r="I54" s="131" t="s">
        <v>1077</v>
      </c>
      <c r="J54" s="139" t="s">
        <v>17</v>
      </c>
      <c r="K54" s="140" t="s">
        <v>8</v>
      </c>
      <c r="L54" s="168">
        <v>44760</v>
      </c>
      <c r="M54" s="147">
        <f t="shared" si="2"/>
        <v>10</v>
      </c>
      <c r="P54" s="11"/>
    </row>
    <row r="55" spans="2:16" ht="16.5" hidden="1" customHeight="1" x14ac:dyDescent="0.2">
      <c r="B55" s="132" t="s">
        <v>1297</v>
      </c>
      <c r="C55" s="132" t="s">
        <v>1307</v>
      </c>
      <c r="D55" s="175"/>
      <c r="E55" s="155" t="s">
        <v>93</v>
      </c>
      <c r="F55" s="156" t="s">
        <v>966</v>
      </c>
      <c r="G55" s="143">
        <f>IF(B55="","",1)</f>
        <v>1</v>
      </c>
      <c r="H55" s="131" t="s">
        <v>89</v>
      </c>
      <c r="I55" s="131" t="s">
        <v>1077</v>
      </c>
      <c r="J55" s="139" t="s">
        <v>1066</v>
      </c>
      <c r="K55" s="141" t="s">
        <v>358</v>
      </c>
      <c r="L55" s="168">
        <v>44766</v>
      </c>
      <c r="M55" s="147">
        <f t="shared" si="2"/>
        <v>4</v>
      </c>
      <c r="P55" s="11"/>
    </row>
    <row r="56" spans="2:16" ht="16.5" hidden="1" customHeight="1" x14ac:dyDescent="0.2">
      <c r="B56" s="132" t="s">
        <v>413</v>
      </c>
      <c r="C56" s="132" t="s">
        <v>1175</v>
      </c>
      <c r="D56" s="131"/>
      <c r="E56" s="133" t="s">
        <v>8</v>
      </c>
      <c r="F56" s="156" t="s">
        <v>930</v>
      </c>
      <c r="G56" s="143">
        <f>IF(B56="","",1)</f>
        <v>1</v>
      </c>
      <c r="H56" s="131" t="s">
        <v>17</v>
      </c>
      <c r="I56" s="131" t="s">
        <v>1077</v>
      </c>
      <c r="J56" s="139" t="s">
        <v>17</v>
      </c>
      <c r="K56" s="140" t="s">
        <v>8</v>
      </c>
      <c r="L56" s="168">
        <v>44767</v>
      </c>
      <c r="M56" s="147">
        <f t="shared" si="2"/>
        <v>3</v>
      </c>
      <c r="P56" s="11"/>
    </row>
    <row r="57" spans="2:16" ht="16.5" hidden="1" customHeight="1" x14ac:dyDescent="0.2">
      <c r="B57" s="134" t="s">
        <v>321</v>
      </c>
      <c r="C57" s="134" t="s">
        <v>1150</v>
      </c>
      <c r="D57" s="136"/>
      <c r="E57" s="135" t="s">
        <v>1076</v>
      </c>
      <c r="F57" s="159" t="s">
        <v>882</v>
      </c>
      <c r="G57" s="145">
        <f>IF(B57="","",3)</f>
        <v>3</v>
      </c>
      <c r="H57" s="136" t="s">
        <v>82</v>
      </c>
      <c r="I57" s="136" t="s">
        <v>1187</v>
      </c>
      <c r="J57" s="138" t="s">
        <v>42</v>
      </c>
      <c r="K57" s="141" t="s">
        <v>358</v>
      </c>
      <c r="L57" s="168">
        <v>44749</v>
      </c>
      <c r="M57" s="147">
        <f t="shared" si="2"/>
        <v>21</v>
      </c>
      <c r="P57" s="11" t="str">
        <f t="shared" ref="P57:P70" si="4">L224</f>
        <v>ONESUBSEA</v>
      </c>
    </row>
    <row r="58" spans="2:16" ht="16.5" hidden="1" customHeight="1" x14ac:dyDescent="0.2">
      <c r="B58" s="132" t="s">
        <v>686</v>
      </c>
      <c r="C58" s="132" t="s">
        <v>1308</v>
      </c>
      <c r="D58" s="175"/>
      <c r="E58" s="133" t="s">
        <v>1064</v>
      </c>
      <c r="F58" s="156" t="s">
        <v>939</v>
      </c>
      <c r="G58" s="143">
        <f>IF(B58="","",2)</f>
        <v>2</v>
      </c>
      <c r="H58" s="131" t="s">
        <v>1069</v>
      </c>
      <c r="I58" s="131" t="s">
        <v>1122</v>
      </c>
      <c r="J58" s="139" t="s">
        <v>1067</v>
      </c>
      <c r="K58" s="141" t="s">
        <v>358</v>
      </c>
      <c r="L58" s="168">
        <v>44766</v>
      </c>
      <c r="M58" s="147">
        <f t="shared" si="2"/>
        <v>4</v>
      </c>
      <c r="P58" s="11" t="str">
        <f t="shared" si="4"/>
        <v>CONFAB</v>
      </c>
    </row>
    <row r="59" spans="2:16" ht="16.5" hidden="1" customHeight="1" x14ac:dyDescent="0.2">
      <c r="B59" s="132" t="s">
        <v>1238</v>
      </c>
      <c r="C59" s="148" t="s">
        <v>1135</v>
      </c>
      <c r="D59" s="175"/>
      <c r="E59" s="149" t="s">
        <v>8</v>
      </c>
      <c r="F59" s="156" t="s">
        <v>931</v>
      </c>
      <c r="G59" s="143">
        <f>IF(B59="","",1)</f>
        <v>1</v>
      </c>
      <c r="H59" s="131" t="s">
        <v>17</v>
      </c>
      <c r="I59" s="131" t="s">
        <v>1077</v>
      </c>
      <c r="J59" s="139" t="s">
        <v>17</v>
      </c>
      <c r="K59" s="140" t="s">
        <v>8</v>
      </c>
      <c r="L59" s="168">
        <v>44753</v>
      </c>
      <c r="M59" s="147">
        <f t="shared" si="2"/>
        <v>17</v>
      </c>
      <c r="P59" s="11" t="str">
        <f t="shared" si="4"/>
        <v>MASTER-BR</v>
      </c>
    </row>
    <row r="60" spans="2:16" ht="16.5" hidden="1" customHeight="1" x14ac:dyDescent="0.2">
      <c r="B60" s="132" t="s">
        <v>1350</v>
      </c>
      <c r="C60" s="132" t="s">
        <v>109</v>
      </c>
      <c r="D60" s="131"/>
      <c r="E60" s="133" t="s">
        <v>1082</v>
      </c>
      <c r="F60" s="156" t="s">
        <v>911</v>
      </c>
      <c r="G60" s="143">
        <f>IF(B60="","",2)</f>
        <v>2</v>
      </c>
      <c r="H60" s="131" t="s">
        <v>1069</v>
      </c>
      <c r="I60" s="131" t="s">
        <v>1077</v>
      </c>
      <c r="J60" s="139" t="s">
        <v>9</v>
      </c>
      <c r="K60" s="141" t="s">
        <v>358</v>
      </c>
      <c r="L60" s="168">
        <v>44769</v>
      </c>
      <c r="M60" s="147">
        <f t="shared" si="2"/>
        <v>1</v>
      </c>
      <c r="P60" s="11" t="str">
        <f t="shared" si="4"/>
        <v>SCHLUMBERGER</v>
      </c>
    </row>
    <row r="61" spans="2:16" ht="16.5" hidden="1" customHeight="1" x14ac:dyDescent="0.2">
      <c r="B61" s="132" t="s">
        <v>1269</v>
      </c>
      <c r="C61" s="132" t="s">
        <v>1139</v>
      </c>
      <c r="D61" s="131"/>
      <c r="E61" s="149" t="s">
        <v>1076</v>
      </c>
      <c r="F61" s="156" t="s">
        <v>1011</v>
      </c>
      <c r="G61" s="143">
        <f>IF(B61="","",3)</f>
        <v>3</v>
      </c>
      <c r="H61" s="131" t="s">
        <v>79</v>
      </c>
      <c r="I61" s="131" t="s">
        <v>1077</v>
      </c>
      <c r="J61" s="139" t="s">
        <v>22</v>
      </c>
      <c r="K61" s="141" t="s">
        <v>358</v>
      </c>
      <c r="L61" s="168">
        <v>44763</v>
      </c>
      <c r="M61" s="147">
        <f t="shared" si="2"/>
        <v>7</v>
      </c>
      <c r="P61" s="11" t="str">
        <f t="shared" si="4"/>
        <v>CONFAB  (TENARIS)</v>
      </c>
    </row>
    <row r="62" spans="2:16" ht="16.5" hidden="1" customHeight="1" x14ac:dyDescent="0.2">
      <c r="B62" s="132" t="s">
        <v>1340</v>
      </c>
      <c r="C62" s="132" t="s">
        <v>1165</v>
      </c>
      <c r="D62" s="131"/>
      <c r="E62" s="133" t="s">
        <v>1076</v>
      </c>
      <c r="F62" s="156" t="s">
        <v>943</v>
      </c>
      <c r="G62" s="143">
        <f>IF(B62="","",2)</f>
        <v>2</v>
      </c>
      <c r="H62" s="131" t="s">
        <v>81</v>
      </c>
      <c r="I62" s="131" t="s">
        <v>1077</v>
      </c>
      <c r="J62" s="139" t="s">
        <v>1065</v>
      </c>
      <c r="K62" s="141" t="s">
        <v>358</v>
      </c>
      <c r="L62" s="168">
        <v>44768</v>
      </c>
      <c r="M62" s="147">
        <f t="shared" si="2"/>
        <v>2</v>
      </c>
      <c r="P62" s="11" t="str">
        <f t="shared" si="4"/>
        <v xml:space="preserve">A.REINALDO </v>
      </c>
    </row>
    <row r="63" spans="2:16" ht="16.5" hidden="1" customHeight="1" x14ac:dyDescent="0.2">
      <c r="B63" s="132" t="s">
        <v>1277</v>
      </c>
      <c r="C63" s="132" t="s">
        <v>1278</v>
      </c>
      <c r="D63" s="175"/>
      <c r="E63" s="133" t="s">
        <v>1105</v>
      </c>
      <c r="F63" s="156" t="s">
        <v>907</v>
      </c>
      <c r="G63" s="143">
        <f>IF(B63="","",2)</f>
        <v>2</v>
      </c>
      <c r="H63" s="131" t="s">
        <v>1069</v>
      </c>
      <c r="I63" s="131" t="s">
        <v>1077</v>
      </c>
      <c r="J63" s="139" t="s">
        <v>9</v>
      </c>
      <c r="K63" s="141" t="s">
        <v>358</v>
      </c>
      <c r="L63" s="168">
        <v>44765</v>
      </c>
      <c r="M63" s="147">
        <f t="shared" si="2"/>
        <v>5</v>
      </c>
      <c r="P63" s="11" t="str">
        <f t="shared" si="4"/>
        <v>SUPERIOR ENERGY</v>
      </c>
    </row>
    <row r="64" spans="2:16" ht="16.5" hidden="1" customHeight="1" x14ac:dyDescent="0.2">
      <c r="B64" s="132" t="s">
        <v>1291</v>
      </c>
      <c r="C64" s="132" t="s">
        <v>1292</v>
      </c>
      <c r="D64" s="131"/>
      <c r="E64" s="133" t="s">
        <v>1076</v>
      </c>
      <c r="F64" s="156" t="s">
        <v>1055</v>
      </c>
      <c r="G64" s="143">
        <f>IF(B64="","",2)</f>
        <v>2</v>
      </c>
      <c r="H64" s="131" t="s">
        <v>80</v>
      </c>
      <c r="I64" s="131" t="s">
        <v>1077</v>
      </c>
      <c r="J64" s="139" t="s">
        <v>1072</v>
      </c>
      <c r="K64" s="141" t="s">
        <v>358</v>
      </c>
      <c r="L64" s="168">
        <v>44765</v>
      </c>
      <c r="M64" s="147">
        <f t="shared" si="2"/>
        <v>5</v>
      </c>
      <c r="P64" s="11" t="str">
        <f t="shared" si="4"/>
        <v>TENARIS</v>
      </c>
    </row>
    <row r="65" spans="1:16" ht="16.5" hidden="1" customHeight="1" x14ac:dyDescent="0.2">
      <c r="B65" s="132" t="s">
        <v>169</v>
      </c>
      <c r="C65" s="148" t="s">
        <v>1139</v>
      </c>
      <c r="D65" s="174"/>
      <c r="E65" s="149" t="s">
        <v>1076</v>
      </c>
      <c r="F65" s="156" t="s">
        <v>1010</v>
      </c>
      <c r="G65" s="143">
        <f>IF(B65="","",2)</f>
        <v>2</v>
      </c>
      <c r="H65" s="131" t="s">
        <v>79</v>
      </c>
      <c r="I65" s="131" t="s">
        <v>1077</v>
      </c>
      <c r="J65" s="139" t="s">
        <v>22</v>
      </c>
      <c r="K65" s="141" t="s">
        <v>358</v>
      </c>
      <c r="L65" s="168">
        <v>44756</v>
      </c>
      <c r="M65" s="147">
        <f t="shared" si="2"/>
        <v>14</v>
      </c>
      <c r="P65" s="11" t="str">
        <f t="shared" si="4"/>
        <v>EQS</v>
      </c>
    </row>
    <row r="66" spans="1:16" ht="16.5" customHeight="1" x14ac:dyDescent="0.2">
      <c r="A66" s="1">
        <v>44324</v>
      </c>
      <c r="B66" s="132" t="s">
        <v>1258</v>
      </c>
      <c r="C66" s="132" t="s">
        <v>1129</v>
      </c>
      <c r="D66" s="132"/>
      <c r="E66" s="149" t="s">
        <v>1076</v>
      </c>
      <c r="F66" s="156" t="s">
        <v>1041</v>
      </c>
      <c r="G66" s="143">
        <f>IF(B66="","",2)</f>
        <v>2</v>
      </c>
      <c r="H66" s="131" t="s">
        <v>79</v>
      </c>
      <c r="I66" s="131" t="s">
        <v>1077</v>
      </c>
      <c r="J66" s="139" t="s">
        <v>69</v>
      </c>
      <c r="K66" s="141" t="s">
        <v>358</v>
      </c>
      <c r="L66" s="168">
        <v>44762</v>
      </c>
      <c r="M66" s="147">
        <f t="shared" si="2"/>
        <v>8</v>
      </c>
      <c r="P66" s="11" t="str">
        <f t="shared" si="4"/>
        <v>TRANSPETRO</v>
      </c>
    </row>
    <row r="67" spans="1:16" ht="16.5" hidden="1" customHeight="1" x14ac:dyDescent="0.2">
      <c r="B67" s="132" t="s">
        <v>318</v>
      </c>
      <c r="C67" s="132" t="s">
        <v>1198</v>
      </c>
      <c r="D67" s="131"/>
      <c r="E67" s="133" t="s">
        <v>1076</v>
      </c>
      <c r="F67" s="156" t="s">
        <v>961</v>
      </c>
      <c r="G67" s="143">
        <f>IF(B67="","",3)</f>
        <v>3</v>
      </c>
      <c r="H67" s="131" t="s">
        <v>84</v>
      </c>
      <c r="I67" s="131" t="s">
        <v>1077</v>
      </c>
      <c r="J67" s="139" t="s">
        <v>1065</v>
      </c>
      <c r="K67" s="141" t="s">
        <v>358</v>
      </c>
      <c r="L67" s="168">
        <v>44768</v>
      </c>
      <c r="M67" s="147">
        <f t="shared" si="2"/>
        <v>2</v>
      </c>
      <c r="P67" s="11" t="str">
        <f t="shared" si="4"/>
        <v>VALLOUREC</v>
      </c>
    </row>
    <row r="68" spans="1:16" ht="16.5" hidden="1" customHeight="1" x14ac:dyDescent="0.2">
      <c r="B68" s="132" t="s">
        <v>317</v>
      </c>
      <c r="C68" s="160" t="s">
        <v>1137</v>
      </c>
      <c r="D68" s="131"/>
      <c r="E68" s="133" t="s">
        <v>1076</v>
      </c>
      <c r="F68" s="156" t="s">
        <v>1047</v>
      </c>
      <c r="G68" s="143">
        <f>IF(B68="","",3)</f>
        <v>3</v>
      </c>
      <c r="H68" s="131" t="s">
        <v>87</v>
      </c>
      <c r="I68" s="131" t="s">
        <v>1090</v>
      </c>
      <c r="J68" s="139" t="s">
        <v>13</v>
      </c>
      <c r="K68" s="141" t="s">
        <v>358</v>
      </c>
      <c r="L68" s="168">
        <v>44762</v>
      </c>
      <c r="M68" s="147">
        <f t="shared" si="2"/>
        <v>8</v>
      </c>
      <c r="P68" s="11" t="str">
        <f t="shared" si="4"/>
        <v>WELLTEC</v>
      </c>
    </row>
    <row r="69" spans="1:16" ht="16.5" hidden="1" customHeight="1" x14ac:dyDescent="0.2">
      <c r="B69" s="132" t="s">
        <v>1321</v>
      </c>
      <c r="C69" s="132" t="s">
        <v>1120</v>
      </c>
      <c r="D69" s="131"/>
      <c r="E69" s="133" t="s">
        <v>1108</v>
      </c>
      <c r="F69" s="156" t="s">
        <v>984</v>
      </c>
      <c r="G69" s="143">
        <f>IF(B69="","",1)</f>
        <v>1</v>
      </c>
      <c r="H69" s="131" t="s">
        <v>1069</v>
      </c>
      <c r="I69" s="131" t="s">
        <v>1077</v>
      </c>
      <c r="J69" s="139" t="s">
        <v>120</v>
      </c>
      <c r="K69" s="142" t="s">
        <v>59</v>
      </c>
      <c r="L69" s="168">
        <v>44767</v>
      </c>
      <c r="M69" s="51">
        <f t="shared" ref="M69:M100" si="5">IF(L69="","",$K$3-L69+1)</f>
        <v>3</v>
      </c>
      <c r="P69" s="11" t="str">
        <f t="shared" si="4"/>
        <v>WEATHERFORD (BR)</v>
      </c>
    </row>
    <row r="70" spans="1:16" ht="16.5" hidden="1" customHeight="1" x14ac:dyDescent="0.2">
      <c r="B70" s="132" t="s">
        <v>1347</v>
      </c>
      <c r="C70" s="132" t="s">
        <v>1348</v>
      </c>
      <c r="D70" s="131"/>
      <c r="E70" s="133" t="s">
        <v>830</v>
      </c>
      <c r="F70" s="156" t="s">
        <v>999</v>
      </c>
      <c r="G70" s="143">
        <f>IF(B70="","",2)</f>
        <v>2</v>
      </c>
      <c r="H70" s="131" t="s">
        <v>1069</v>
      </c>
      <c r="I70" s="131" t="s">
        <v>1077</v>
      </c>
      <c r="J70" s="139" t="s">
        <v>1072</v>
      </c>
      <c r="K70" s="141" t="s">
        <v>358</v>
      </c>
      <c r="L70" s="168">
        <v>44768</v>
      </c>
      <c r="M70" s="51">
        <f t="shared" si="5"/>
        <v>2</v>
      </c>
      <c r="P70" s="11" t="str">
        <f t="shared" si="4"/>
        <v>VAZIO</v>
      </c>
    </row>
    <row r="71" spans="1:16" ht="16.5" hidden="1" customHeight="1" x14ac:dyDescent="0.2">
      <c r="B71" s="132" t="s">
        <v>1355</v>
      </c>
      <c r="C71" s="148" t="s">
        <v>1157</v>
      </c>
      <c r="D71" s="131"/>
      <c r="E71" s="155" t="s">
        <v>93</v>
      </c>
      <c r="F71" s="156" t="s">
        <v>970</v>
      </c>
      <c r="G71" s="143">
        <f>IF(B71="","",3)</f>
        <v>3</v>
      </c>
      <c r="H71" s="131" t="s">
        <v>89</v>
      </c>
      <c r="I71" s="131" t="s">
        <v>1077</v>
      </c>
      <c r="J71" s="139" t="s">
        <v>1066</v>
      </c>
      <c r="K71" s="141" t="s">
        <v>358</v>
      </c>
      <c r="L71" s="168">
        <v>44769</v>
      </c>
      <c r="M71" s="51">
        <f t="shared" si="5"/>
        <v>1</v>
      </c>
    </row>
    <row r="72" spans="1:16" ht="16.5" hidden="1" customHeight="1" x14ac:dyDescent="0.2">
      <c r="B72" s="132" t="s">
        <v>1298</v>
      </c>
      <c r="C72" s="160" t="s">
        <v>1309</v>
      </c>
      <c r="D72" s="174"/>
      <c r="E72" s="133" t="s">
        <v>1105</v>
      </c>
      <c r="F72" s="156" t="s">
        <v>993</v>
      </c>
      <c r="G72" s="143">
        <f>IF(B72="","",2)</f>
        <v>2</v>
      </c>
      <c r="H72" s="131" t="s">
        <v>1069</v>
      </c>
      <c r="I72" s="131" t="s">
        <v>1077</v>
      </c>
      <c r="J72" s="139" t="s">
        <v>21</v>
      </c>
      <c r="K72" s="142" t="s">
        <v>59</v>
      </c>
      <c r="L72" s="168">
        <v>44766</v>
      </c>
      <c r="M72" s="147">
        <f t="shared" si="5"/>
        <v>4</v>
      </c>
      <c r="P72" s="11"/>
    </row>
    <row r="73" spans="1:16" ht="16.5" hidden="1" customHeight="1" x14ac:dyDescent="0.2">
      <c r="B73" s="132" t="s">
        <v>314</v>
      </c>
      <c r="C73" s="132" t="s">
        <v>1127</v>
      </c>
      <c r="D73" s="131"/>
      <c r="E73" s="133" t="s">
        <v>1076</v>
      </c>
      <c r="F73" s="156" t="s">
        <v>1031</v>
      </c>
      <c r="G73" s="143">
        <f>IF(B73="","",2)</f>
        <v>2</v>
      </c>
      <c r="H73" s="131" t="s">
        <v>79</v>
      </c>
      <c r="I73" s="131" t="s">
        <v>1077</v>
      </c>
      <c r="J73" s="139" t="s">
        <v>23</v>
      </c>
      <c r="K73" s="141" t="s">
        <v>358</v>
      </c>
      <c r="L73" s="168">
        <v>44765</v>
      </c>
      <c r="M73" s="51">
        <f t="shared" si="5"/>
        <v>5</v>
      </c>
      <c r="P73" s="11"/>
    </row>
    <row r="74" spans="1:16" ht="16.5" hidden="1" customHeight="1" x14ac:dyDescent="0.2">
      <c r="B74" s="132" t="s">
        <v>1284</v>
      </c>
      <c r="C74" s="132" t="s">
        <v>1285</v>
      </c>
      <c r="D74" s="131"/>
      <c r="E74" s="133" t="s">
        <v>1095</v>
      </c>
      <c r="F74" s="156" t="s">
        <v>964</v>
      </c>
      <c r="G74" s="143">
        <f>IF(B74="","",1)</f>
        <v>1</v>
      </c>
      <c r="H74" s="131" t="s">
        <v>89</v>
      </c>
      <c r="I74" s="131" t="s">
        <v>1077</v>
      </c>
      <c r="J74" s="139" t="s">
        <v>1065</v>
      </c>
      <c r="K74" s="141" t="s">
        <v>358</v>
      </c>
      <c r="L74" s="168">
        <v>44765</v>
      </c>
      <c r="M74" s="147">
        <f t="shared" si="5"/>
        <v>5</v>
      </c>
      <c r="P74" s="11"/>
    </row>
    <row r="75" spans="1:16" ht="16.5" hidden="1" customHeight="1" x14ac:dyDescent="0.2">
      <c r="B75" s="134" t="s">
        <v>1315</v>
      </c>
      <c r="C75" s="134" t="s">
        <v>1166</v>
      </c>
      <c r="D75" s="136"/>
      <c r="E75" s="135" t="s">
        <v>59</v>
      </c>
      <c r="F75" s="157" t="s">
        <v>891</v>
      </c>
      <c r="G75" s="145">
        <f>IF(B75="","",1)</f>
        <v>1</v>
      </c>
      <c r="H75" s="136" t="s">
        <v>59</v>
      </c>
      <c r="I75" s="136" t="s">
        <v>1077</v>
      </c>
      <c r="J75" s="138" t="s">
        <v>50</v>
      </c>
      <c r="K75" s="142" t="s">
        <v>59</v>
      </c>
      <c r="L75" s="168">
        <v>44762</v>
      </c>
      <c r="M75" s="147">
        <f t="shared" si="5"/>
        <v>8</v>
      </c>
      <c r="P75" s="11"/>
    </row>
    <row r="76" spans="1:16" ht="16.5" hidden="1" customHeight="1" x14ac:dyDescent="0.2">
      <c r="B76" s="132" t="s">
        <v>1322</v>
      </c>
      <c r="C76" s="132" t="s">
        <v>1331</v>
      </c>
      <c r="D76" s="131"/>
      <c r="E76" s="133" t="s">
        <v>1105</v>
      </c>
      <c r="F76" s="156" t="s">
        <v>987</v>
      </c>
      <c r="G76" s="143">
        <f>IF(B76="","",3)</f>
        <v>3</v>
      </c>
      <c r="H76" s="131" t="s">
        <v>1069</v>
      </c>
      <c r="I76" s="131" t="s">
        <v>1077</v>
      </c>
      <c r="J76" s="139" t="s">
        <v>21</v>
      </c>
      <c r="K76" s="142" t="s">
        <v>59</v>
      </c>
      <c r="L76" s="168">
        <v>44767</v>
      </c>
      <c r="M76" s="147">
        <f t="shared" si="5"/>
        <v>3</v>
      </c>
      <c r="P76" s="11"/>
    </row>
    <row r="77" spans="1:16" ht="16.5" hidden="1" customHeight="1" x14ac:dyDescent="0.2">
      <c r="B77" s="132" t="s">
        <v>1250</v>
      </c>
      <c r="C77" s="132" t="s">
        <v>1165</v>
      </c>
      <c r="D77" s="131"/>
      <c r="E77" s="133" t="s">
        <v>1076</v>
      </c>
      <c r="F77" s="156" t="s">
        <v>942</v>
      </c>
      <c r="G77" s="143">
        <f>IF(B77="","",2)</f>
        <v>2</v>
      </c>
      <c r="H77" s="131" t="s">
        <v>81</v>
      </c>
      <c r="I77" s="131" t="s">
        <v>1077</v>
      </c>
      <c r="J77" s="139" t="s">
        <v>1065</v>
      </c>
      <c r="K77" s="141" t="s">
        <v>358</v>
      </c>
      <c r="L77" s="168">
        <v>44761</v>
      </c>
      <c r="M77" s="51">
        <f t="shared" si="5"/>
        <v>9</v>
      </c>
      <c r="P77" s="11"/>
    </row>
    <row r="78" spans="1:16" ht="16.5" hidden="1" customHeight="1" x14ac:dyDescent="0.2">
      <c r="B78" s="134" t="s">
        <v>1274</v>
      </c>
      <c r="C78" s="150" t="s">
        <v>1112</v>
      </c>
      <c r="D78" s="176"/>
      <c r="E78" s="135" t="s">
        <v>59</v>
      </c>
      <c r="F78" s="159" t="s">
        <v>890</v>
      </c>
      <c r="G78" s="145">
        <f>IF(B78="","",2)</f>
        <v>2</v>
      </c>
      <c r="H78" s="136" t="s">
        <v>59</v>
      </c>
      <c r="I78" s="136" t="s">
        <v>1077</v>
      </c>
      <c r="J78" s="138" t="s">
        <v>49</v>
      </c>
      <c r="K78" s="142" t="s">
        <v>59</v>
      </c>
      <c r="L78" s="168">
        <v>44763</v>
      </c>
      <c r="M78" s="147">
        <f t="shared" si="5"/>
        <v>7</v>
      </c>
      <c r="P78" s="11"/>
    </row>
    <row r="79" spans="1:16" ht="16.5" hidden="1" customHeight="1" x14ac:dyDescent="0.2">
      <c r="B79" s="134" t="s">
        <v>159</v>
      </c>
      <c r="C79" s="134" t="s">
        <v>1091</v>
      </c>
      <c r="D79" s="176"/>
      <c r="E79" s="151" t="s">
        <v>1076</v>
      </c>
      <c r="F79" s="157" t="s">
        <v>897</v>
      </c>
      <c r="G79" s="145">
        <f>IF(B79="","",2)</f>
        <v>2</v>
      </c>
      <c r="H79" s="136" t="s">
        <v>80</v>
      </c>
      <c r="I79" s="136" t="s">
        <v>1077</v>
      </c>
      <c r="J79" s="138" t="s">
        <v>39</v>
      </c>
      <c r="K79" s="141" t="s">
        <v>358</v>
      </c>
      <c r="L79" s="168">
        <v>44761</v>
      </c>
      <c r="M79" s="147">
        <f t="shared" si="5"/>
        <v>9</v>
      </c>
      <c r="P79" s="11"/>
    </row>
    <row r="80" spans="1:16" ht="16.5" hidden="1" customHeight="1" x14ac:dyDescent="0.2">
      <c r="B80" s="132" t="s">
        <v>1352</v>
      </c>
      <c r="C80" s="148" t="s">
        <v>1106</v>
      </c>
      <c r="D80" s="131"/>
      <c r="E80" s="133" t="s">
        <v>1076</v>
      </c>
      <c r="F80" s="156" t="s">
        <v>922</v>
      </c>
      <c r="G80" s="143">
        <f>IF(B80="","",2)</f>
        <v>2</v>
      </c>
      <c r="H80" s="131" t="s">
        <v>79</v>
      </c>
      <c r="I80" s="131" t="s">
        <v>1077</v>
      </c>
      <c r="J80" s="139" t="s">
        <v>11</v>
      </c>
      <c r="K80" s="141" t="s">
        <v>358</v>
      </c>
      <c r="L80" s="168">
        <v>44769</v>
      </c>
      <c r="M80" s="147">
        <f t="shared" si="5"/>
        <v>1</v>
      </c>
    </row>
    <row r="81" spans="2:13" ht="16.5" hidden="1" customHeight="1" x14ac:dyDescent="0.2">
      <c r="B81" s="132" t="s">
        <v>1226</v>
      </c>
      <c r="C81" s="160" t="s">
        <v>1190</v>
      </c>
      <c r="D81" s="132"/>
      <c r="E81" s="133" t="s">
        <v>1064</v>
      </c>
      <c r="F81" s="156" t="s">
        <v>1084</v>
      </c>
      <c r="G81" s="143">
        <f>IF(B81="","",2)</f>
        <v>2</v>
      </c>
      <c r="H81" s="131" t="s">
        <v>1069</v>
      </c>
      <c r="I81" s="131" t="s">
        <v>1077</v>
      </c>
      <c r="J81" s="139" t="s">
        <v>1067</v>
      </c>
      <c r="K81" s="141" t="s">
        <v>358</v>
      </c>
      <c r="L81" s="168">
        <v>44759</v>
      </c>
      <c r="M81" s="51">
        <f t="shared" si="5"/>
        <v>11</v>
      </c>
    </row>
    <row r="82" spans="2:13" ht="16.5" hidden="1" customHeight="1" x14ac:dyDescent="0.2">
      <c r="B82" s="132" t="s">
        <v>1282</v>
      </c>
      <c r="C82" s="132" t="s">
        <v>1078</v>
      </c>
      <c r="D82" s="175"/>
      <c r="E82" s="133" t="s">
        <v>1076</v>
      </c>
      <c r="F82" s="156" t="s">
        <v>918</v>
      </c>
      <c r="G82" s="143">
        <f>IF(B82="","",1)</f>
        <v>1</v>
      </c>
      <c r="H82" s="131" t="s">
        <v>79</v>
      </c>
      <c r="I82" s="131" t="s">
        <v>1077</v>
      </c>
      <c r="J82" s="139" t="s">
        <v>10</v>
      </c>
      <c r="K82" s="141" t="s">
        <v>358</v>
      </c>
      <c r="L82" s="168">
        <v>44765</v>
      </c>
      <c r="M82" s="147">
        <f t="shared" si="5"/>
        <v>5</v>
      </c>
    </row>
    <row r="83" spans="2:13" ht="16.5" hidden="1" customHeight="1" x14ac:dyDescent="0.2">
      <c r="B83" s="132" t="s">
        <v>1366</v>
      </c>
      <c r="C83" s="132" t="s">
        <v>1137</v>
      </c>
      <c r="D83" s="175"/>
      <c r="E83" s="149" t="s">
        <v>1076</v>
      </c>
      <c r="F83" s="156" t="s">
        <v>1042</v>
      </c>
      <c r="G83" s="143">
        <f>IF(B83="","",2)</f>
        <v>2</v>
      </c>
      <c r="H83" s="131" t="s">
        <v>87</v>
      </c>
      <c r="I83" s="131" t="s">
        <v>1077</v>
      </c>
      <c r="J83" s="139" t="s">
        <v>1123</v>
      </c>
      <c r="K83" s="141" t="s">
        <v>358</v>
      </c>
      <c r="L83" s="168">
        <v>44769</v>
      </c>
      <c r="M83" s="147">
        <f t="shared" si="5"/>
        <v>1</v>
      </c>
    </row>
    <row r="84" spans="2:13" ht="16.5" hidden="1" customHeight="1" x14ac:dyDescent="0.2">
      <c r="B84" s="132" t="s">
        <v>201</v>
      </c>
      <c r="C84" s="160" t="s">
        <v>1091</v>
      </c>
      <c r="D84" s="160"/>
      <c r="E84" s="133" t="s">
        <v>1076</v>
      </c>
      <c r="F84" s="156" t="s">
        <v>898</v>
      </c>
      <c r="G84" s="146">
        <f>IF(B84="","",2)</f>
        <v>2</v>
      </c>
      <c r="H84" s="162" t="s">
        <v>80</v>
      </c>
      <c r="I84" s="162" t="s">
        <v>1077</v>
      </c>
      <c r="J84" s="139" t="s">
        <v>39</v>
      </c>
      <c r="K84" s="141" t="s">
        <v>358</v>
      </c>
      <c r="L84" s="168">
        <v>44763</v>
      </c>
      <c r="M84" s="147">
        <f t="shared" si="5"/>
        <v>7</v>
      </c>
    </row>
    <row r="85" spans="2:13" ht="16.5" hidden="1" customHeight="1" x14ac:dyDescent="0.2">
      <c r="B85" s="132" t="s">
        <v>300</v>
      </c>
      <c r="C85" s="160" t="s">
        <v>1132</v>
      </c>
      <c r="D85" s="175"/>
      <c r="E85" s="155" t="s">
        <v>1076</v>
      </c>
      <c r="F85" s="156" t="s">
        <v>973</v>
      </c>
      <c r="G85" s="143">
        <f>IF(B85="","",3)</f>
        <v>3</v>
      </c>
      <c r="H85" s="131" t="s">
        <v>80</v>
      </c>
      <c r="I85" s="131" t="s">
        <v>1077</v>
      </c>
      <c r="J85" s="139" t="s">
        <v>1065</v>
      </c>
      <c r="K85" s="141" t="s">
        <v>358</v>
      </c>
      <c r="L85" s="168">
        <v>44761</v>
      </c>
      <c r="M85" s="51">
        <f t="shared" si="5"/>
        <v>9</v>
      </c>
    </row>
    <row r="86" spans="2:13" ht="16.5" hidden="1" customHeight="1" x14ac:dyDescent="0.2">
      <c r="B86" s="132" t="s">
        <v>1229</v>
      </c>
      <c r="C86" s="160" t="s">
        <v>1168</v>
      </c>
      <c r="D86" s="174"/>
      <c r="E86" s="133" t="s">
        <v>52</v>
      </c>
      <c r="F86" s="156" t="s">
        <v>981</v>
      </c>
      <c r="G86" s="143">
        <f>IF(B86="","",1)</f>
        <v>1</v>
      </c>
      <c r="H86" s="131" t="s">
        <v>1069</v>
      </c>
      <c r="I86" s="131" t="s">
        <v>1077</v>
      </c>
      <c r="J86" s="139" t="s">
        <v>21</v>
      </c>
      <c r="K86" s="182" t="s">
        <v>59</v>
      </c>
      <c r="L86" s="168">
        <v>44759</v>
      </c>
      <c r="M86" s="147">
        <f t="shared" si="5"/>
        <v>11</v>
      </c>
    </row>
    <row r="87" spans="2:13" ht="16.5" hidden="1" customHeight="1" x14ac:dyDescent="0.2">
      <c r="B87" s="132" t="s">
        <v>1267</v>
      </c>
      <c r="C87" s="132" t="s">
        <v>1268</v>
      </c>
      <c r="D87" s="131"/>
      <c r="E87" s="149" t="s">
        <v>112</v>
      </c>
      <c r="F87" s="156" t="s">
        <v>928</v>
      </c>
      <c r="G87" s="143">
        <f>IF(B87="","",2)</f>
        <v>2</v>
      </c>
      <c r="H87" s="131" t="s">
        <v>1069</v>
      </c>
      <c r="I87" s="131" t="s">
        <v>1077</v>
      </c>
      <c r="J87" s="139" t="s">
        <v>116</v>
      </c>
      <c r="K87" s="141" t="s">
        <v>358</v>
      </c>
      <c r="L87" s="168">
        <v>44763</v>
      </c>
      <c r="M87" s="51">
        <f t="shared" si="5"/>
        <v>7</v>
      </c>
    </row>
    <row r="88" spans="2:13" ht="16.5" hidden="1" customHeight="1" x14ac:dyDescent="0.2">
      <c r="B88" s="132" t="s">
        <v>1377</v>
      </c>
      <c r="C88" s="132" t="s">
        <v>1241</v>
      </c>
      <c r="D88" s="131"/>
      <c r="E88" s="133" t="s">
        <v>1064</v>
      </c>
      <c r="F88" s="156" t="s">
        <v>963</v>
      </c>
      <c r="G88" s="143">
        <f>IF(B88="","",1)</f>
        <v>1</v>
      </c>
      <c r="H88" s="131" t="s">
        <v>1069</v>
      </c>
      <c r="I88" s="131" t="s">
        <v>1077</v>
      </c>
      <c r="J88" s="139" t="s">
        <v>1065</v>
      </c>
      <c r="K88" s="141" t="s">
        <v>358</v>
      </c>
      <c r="L88" s="168">
        <v>44760</v>
      </c>
      <c r="M88" s="51">
        <f t="shared" si="5"/>
        <v>10</v>
      </c>
    </row>
    <row r="89" spans="2:13" ht="16.5" customHeight="1" x14ac:dyDescent="0.2">
      <c r="B89" s="132" t="s">
        <v>1271</v>
      </c>
      <c r="C89" s="132" t="s">
        <v>1118</v>
      </c>
      <c r="D89" s="132"/>
      <c r="E89" s="149" t="s">
        <v>1076</v>
      </c>
      <c r="F89" s="156" t="s">
        <v>1043</v>
      </c>
      <c r="G89" s="143">
        <f>IF(B89="","",2)</f>
        <v>2</v>
      </c>
      <c r="H89" s="131" t="s">
        <v>79</v>
      </c>
      <c r="I89" s="131" t="s">
        <v>1077</v>
      </c>
      <c r="J89" s="139" t="s">
        <v>14</v>
      </c>
      <c r="K89" s="141" t="s">
        <v>358</v>
      </c>
      <c r="L89" s="168">
        <v>44763</v>
      </c>
      <c r="M89" s="51">
        <f t="shared" si="5"/>
        <v>7</v>
      </c>
    </row>
    <row r="90" spans="2:13" ht="16.5" hidden="1" customHeight="1" x14ac:dyDescent="0.2">
      <c r="B90" s="132" t="s">
        <v>1299</v>
      </c>
      <c r="C90" s="132" t="s">
        <v>1310</v>
      </c>
      <c r="D90" s="131"/>
      <c r="E90" s="133" t="s">
        <v>1105</v>
      </c>
      <c r="F90" s="156" t="s">
        <v>962</v>
      </c>
      <c r="G90" s="143">
        <f>IF(B90="","",3)</f>
        <v>3</v>
      </c>
      <c r="H90" s="131" t="s">
        <v>1069</v>
      </c>
      <c r="I90" s="131" t="s">
        <v>1077</v>
      </c>
      <c r="J90" s="139" t="s">
        <v>1065</v>
      </c>
      <c r="K90" s="141" t="s">
        <v>358</v>
      </c>
      <c r="L90" s="88">
        <v>44766</v>
      </c>
      <c r="M90" s="51">
        <f t="shared" si="5"/>
        <v>4</v>
      </c>
    </row>
    <row r="91" spans="2:13" ht="16.5" hidden="1" customHeight="1" x14ac:dyDescent="0.2">
      <c r="B91" s="132" t="s">
        <v>1317</v>
      </c>
      <c r="C91" s="160" t="s">
        <v>1231</v>
      </c>
      <c r="D91" s="174"/>
      <c r="E91" s="133" t="s">
        <v>1064</v>
      </c>
      <c r="F91" s="156" t="s">
        <v>985</v>
      </c>
      <c r="G91" s="143">
        <f>IF(B91="","",3)</f>
        <v>3</v>
      </c>
      <c r="H91" s="131" t="s">
        <v>1069</v>
      </c>
      <c r="I91" s="131" t="s">
        <v>1077</v>
      </c>
      <c r="J91" s="139" t="s">
        <v>21</v>
      </c>
      <c r="K91" s="142" t="s">
        <v>59</v>
      </c>
      <c r="L91" s="168">
        <v>44766</v>
      </c>
      <c r="M91" s="51">
        <f t="shared" si="5"/>
        <v>4</v>
      </c>
    </row>
    <row r="92" spans="2:13" ht="16.5" hidden="1" customHeight="1" x14ac:dyDescent="0.2">
      <c r="B92" s="132" t="s">
        <v>1376</v>
      </c>
      <c r="C92" s="132" t="s">
        <v>1159</v>
      </c>
      <c r="D92" s="131"/>
      <c r="E92" s="133" t="s">
        <v>99</v>
      </c>
      <c r="F92" s="156" t="s">
        <v>977</v>
      </c>
      <c r="G92" s="143">
        <f>IF(B92="","",3)</f>
        <v>3</v>
      </c>
      <c r="H92" s="131" t="s">
        <v>1069</v>
      </c>
      <c r="I92" s="131" t="s">
        <v>1077</v>
      </c>
      <c r="J92" s="139" t="s">
        <v>21</v>
      </c>
      <c r="K92" s="142" t="s">
        <v>59</v>
      </c>
      <c r="L92" s="168">
        <v>44765</v>
      </c>
      <c r="M92" s="147">
        <f t="shared" si="5"/>
        <v>5</v>
      </c>
    </row>
    <row r="93" spans="2:13" ht="16.5" hidden="1" customHeight="1" x14ac:dyDescent="0.2">
      <c r="B93" s="132" t="s">
        <v>294</v>
      </c>
      <c r="C93" s="132" t="s">
        <v>1079</v>
      </c>
      <c r="D93" s="131"/>
      <c r="E93" s="149" t="s">
        <v>1076</v>
      </c>
      <c r="F93" s="158" t="s">
        <v>1035</v>
      </c>
      <c r="G93" s="143">
        <f>IF(B93="","",1)</f>
        <v>1</v>
      </c>
      <c r="H93" s="131" t="s">
        <v>79</v>
      </c>
      <c r="I93" s="131" t="s">
        <v>1077</v>
      </c>
      <c r="J93" s="139" t="s">
        <v>37</v>
      </c>
      <c r="K93" s="141" t="s">
        <v>358</v>
      </c>
      <c r="L93" s="168">
        <v>44756</v>
      </c>
      <c r="M93" s="51">
        <f t="shared" si="5"/>
        <v>14</v>
      </c>
    </row>
    <row r="94" spans="2:13" ht="16.5" hidden="1" customHeight="1" x14ac:dyDescent="0.2">
      <c r="B94" s="132" t="s">
        <v>1219</v>
      </c>
      <c r="C94" s="132" t="s">
        <v>1078</v>
      </c>
      <c r="D94" s="132"/>
      <c r="E94" s="133" t="s">
        <v>1076</v>
      </c>
      <c r="F94" s="156" t="s">
        <v>971</v>
      </c>
      <c r="G94" s="143">
        <f>IF(B94="","",3)</f>
        <v>3</v>
      </c>
      <c r="H94" s="131" t="s">
        <v>79</v>
      </c>
      <c r="I94" s="131" t="s">
        <v>1077</v>
      </c>
      <c r="J94" s="139" t="s">
        <v>1124</v>
      </c>
      <c r="K94" s="141" t="s">
        <v>358</v>
      </c>
      <c r="L94" s="168">
        <v>44758</v>
      </c>
      <c r="M94" s="51">
        <f t="shared" si="5"/>
        <v>12</v>
      </c>
    </row>
    <row r="95" spans="2:13" ht="16.5" hidden="1" customHeight="1" x14ac:dyDescent="0.2">
      <c r="B95" s="132" t="s">
        <v>293</v>
      </c>
      <c r="C95" s="148" t="s">
        <v>1261</v>
      </c>
      <c r="D95" s="175"/>
      <c r="E95" s="133" t="s">
        <v>1076</v>
      </c>
      <c r="F95" s="156" t="s">
        <v>1023</v>
      </c>
      <c r="G95" s="143">
        <f>IF(B95="","",3)</f>
        <v>3</v>
      </c>
      <c r="H95" s="131" t="s">
        <v>34</v>
      </c>
      <c r="I95" s="131" t="s">
        <v>1077</v>
      </c>
      <c r="J95" s="139" t="s">
        <v>32</v>
      </c>
      <c r="K95" s="141" t="s">
        <v>358</v>
      </c>
      <c r="L95" s="168">
        <v>44769</v>
      </c>
      <c r="M95" s="51">
        <f t="shared" si="5"/>
        <v>1</v>
      </c>
    </row>
    <row r="96" spans="2:13" ht="16.5" hidden="1" customHeight="1" x14ac:dyDescent="0.2">
      <c r="B96" s="132" t="s">
        <v>291</v>
      </c>
      <c r="C96" s="132" t="s">
        <v>109</v>
      </c>
      <c r="D96" s="175"/>
      <c r="E96" s="133" t="s">
        <v>1076</v>
      </c>
      <c r="F96" s="156" t="s">
        <v>916</v>
      </c>
      <c r="G96" s="143">
        <f>IF(B96="","",1)</f>
        <v>1</v>
      </c>
      <c r="H96" s="131" t="s">
        <v>80</v>
      </c>
      <c r="I96" s="131" t="s">
        <v>1077</v>
      </c>
      <c r="J96" s="139" t="s">
        <v>10</v>
      </c>
      <c r="K96" s="141" t="s">
        <v>358</v>
      </c>
      <c r="L96" s="88">
        <v>44768</v>
      </c>
      <c r="M96" s="147">
        <f t="shared" si="5"/>
        <v>2</v>
      </c>
    </row>
    <row r="97" spans="1:13" ht="16.5" hidden="1" customHeight="1" x14ac:dyDescent="0.2">
      <c r="B97" s="132" t="s">
        <v>1300</v>
      </c>
      <c r="C97" s="148" t="s">
        <v>1311</v>
      </c>
      <c r="D97" s="175"/>
      <c r="E97" s="133" t="s">
        <v>1105</v>
      </c>
      <c r="F97" s="156" t="s">
        <v>994</v>
      </c>
      <c r="G97" s="143">
        <f>IF(B97="","",2)</f>
        <v>2</v>
      </c>
      <c r="H97" s="131" t="s">
        <v>1069</v>
      </c>
      <c r="I97" s="131" t="s">
        <v>1077</v>
      </c>
      <c r="J97" s="139" t="s">
        <v>21</v>
      </c>
      <c r="K97" s="142" t="s">
        <v>59</v>
      </c>
      <c r="L97" s="168">
        <v>44766</v>
      </c>
      <c r="M97" s="147">
        <f t="shared" si="5"/>
        <v>4</v>
      </c>
    </row>
    <row r="98" spans="1:13" ht="16.5" hidden="1" customHeight="1" x14ac:dyDescent="0.2">
      <c r="B98" s="134" t="s">
        <v>1209</v>
      </c>
      <c r="C98" s="134" t="s">
        <v>1173</v>
      </c>
      <c r="D98" s="176"/>
      <c r="E98" s="135" t="s">
        <v>1076</v>
      </c>
      <c r="F98" s="157" t="s">
        <v>888</v>
      </c>
      <c r="G98" s="145">
        <f>IF(B98="","",1)</f>
        <v>1</v>
      </c>
      <c r="H98" s="136" t="s">
        <v>114</v>
      </c>
      <c r="I98" s="136" t="s">
        <v>1077</v>
      </c>
      <c r="J98" s="138" t="s">
        <v>45</v>
      </c>
      <c r="K98" s="183" t="s">
        <v>358</v>
      </c>
      <c r="L98" s="168">
        <v>44756</v>
      </c>
      <c r="M98" s="147">
        <f t="shared" si="5"/>
        <v>14</v>
      </c>
    </row>
    <row r="99" spans="1:13" ht="16.5" hidden="1" customHeight="1" x14ac:dyDescent="0.2">
      <c r="B99" s="132" t="s">
        <v>1343</v>
      </c>
      <c r="C99" s="132" t="s">
        <v>1344</v>
      </c>
      <c r="D99" s="131"/>
      <c r="E99" s="149" t="s">
        <v>1064</v>
      </c>
      <c r="F99" s="156" t="s">
        <v>1107</v>
      </c>
      <c r="G99" s="143">
        <f>IF(B99="","",2)</f>
        <v>2</v>
      </c>
      <c r="H99" s="131" t="s">
        <v>1069</v>
      </c>
      <c r="I99" s="131" t="s">
        <v>1077</v>
      </c>
      <c r="J99" s="139" t="s">
        <v>21</v>
      </c>
      <c r="K99" s="142" t="s">
        <v>59</v>
      </c>
      <c r="L99" s="168">
        <v>44768</v>
      </c>
      <c r="M99" s="147">
        <f t="shared" si="5"/>
        <v>2</v>
      </c>
    </row>
    <row r="100" spans="1:13" ht="16.5" hidden="1" customHeight="1" x14ac:dyDescent="0.2">
      <c r="B100" s="132" t="s">
        <v>1256</v>
      </c>
      <c r="C100" s="148" t="s">
        <v>1171</v>
      </c>
      <c r="D100" s="131"/>
      <c r="E100" s="149" t="s">
        <v>1076</v>
      </c>
      <c r="F100" s="156" t="s">
        <v>1027</v>
      </c>
      <c r="G100" s="143">
        <f>IF(B100="","",3)</f>
        <v>3</v>
      </c>
      <c r="H100" s="131" t="s">
        <v>83</v>
      </c>
      <c r="I100" s="131" t="s">
        <v>1077</v>
      </c>
      <c r="J100" s="139" t="s">
        <v>36</v>
      </c>
      <c r="K100" s="141" t="s">
        <v>358</v>
      </c>
      <c r="L100" s="88">
        <v>44762</v>
      </c>
      <c r="M100" s="51">
        <f t="shared" si="5"/>
        <v>8</v>
      </c>
    </row>
    <row r="101" spans="1:13" ht="16.5" hidden="1" customHeight="1" x14ac:dyDescent="0.2">
      <c r="B101" s="134" t="s">
        <v>1210</v>
      </c>
      <c r="C101" s="150" t="s">
        <v>1167</v>
      </c>
      <c r="D101" s="176"/>
      <c r="E101" s="151" t="s">
        <v>1076</v>
      </c>
      <c r="F101" s="157" t="s">
        <v>899</v>
      </c>
      <c r="G101" s="145">
        <f>IF(B101="","",3)</f>
        <v>3</v>
      </c>
      <c r="H101" s="136" t="s">
        <v>84</v>
      </c>
      <c r="I101" s="136" t="s">
        <v>1077</v>
      </c>
      <c r="J101" s="138" t="s">
        <v>47</v>
      </c>
      <c r="K101" s="141" t="s">
        <v>358</v>
      </c>
      <c r="L101" s="168">
        <v>44756</v>
      </c>
      <c r="M101" s="147">
        <f t="shared" ref="M101:M132" si="6">IF(L101="","",$K$3-L101+1)</f>
        <v>14</v>
      </c>
    </row>
    <row r="102" spans="1:13" ht="16.5" hidden="1" customHeight="1" x14ac:dyDescent="0.2">
      <c r="B102" s="132" t="s">
        <v>1301</v>
      </c>
      <c r="C102" s="132" t="s">
        <v>1307</v>
      </c>
      <c r="D102" s="175"/>
      <c r="E102" s="133" t="s">
        <v>93</v>
      </c>
      <c r="F102" s="156" t="s">
        <v>996</v>
      </c>
      <c r="G102" s="143">
        <f>IF(B102="","",3)</f>
        <v>3</v>
      </c>
      <c r="H102" s="131" t="s">
        <v>89</v>
      </c>
      <c r="I102" s="131" t="s">
        <v>1077</v>
      </c>
      <c r="J102" s="139" t="s">
        <v>107</v>
      </c>
      <c r="K102" s="142" t="s">
        <v>59</v>
      </c>
      <c r="L102" s="168">
        <v>44766</v>
      </c>
      <c r="M102" s="147">
        <f t="shared" si="6"/>
        <v>4</v>
      </c>
    </row>
    <row r="103" spans="1:13" ht="16.5" hidden="1" customHeight="1" x14ac:dyDescent="0.2">
      <c r="B103" s="132" t="s">
        <v>1323</v>
      </c>
      <c r="C103" s="148" t="s">
        <v>1228</v>
      </c>
      <c r="D103" s="175"/>
      <c r="E103" s="133" t="s">
        <v>53</v>
      </c>
      <c r="F103" s="156" t="s">
        <v>905</v>
      </c>
      <c r="G103" s="143">
        <f>IF(B103="","",2)</f>
        <v>2</v>
      </c>
      <c r="H103" s="131" t="s">
        <v>89</v>
      </c>
      <c r="I103" s="131" t="s">
        <v>1077</v>
      </c>
      <c r="J103" s="139" t="s">
        <v>9</v>
      </c>
      <c r="K103" s="141" t="s">
        <v>358</v>
      </c>
      <c r="L103" s="168">
        <v>44767</v>
      </c>
      <c r="M103" s="147">
        <f t="shared" si="6"/>
        <v>3</v>
      </c>
    </row>
    <row r="104" spans="1:13" ht="16.5" hidden="1" customHeight="1" x14ac:dyDescent="0.2">
      <c r="A104" s="1">
        <v>44716</v>
      </c>
      <c r="B104" s="132" t="s">
        <v>290</v>
      </c>
      <c r="C104" s="148" t="s">
        <v>109</v>
      </c>
      <c r="D104" s="175"/>
      <c r="E104" s="133" t="s">
        <v>1076</v>
      </c>
      <c r="F104" s="156" t="s">
        <v>1000</v>
      </c>
      <c r="G104" s="143">
        <f>IF(B104="","",2)</f>
        <v>2</v>
      </c>
      <c r="H104" s="131" t="s">
        <v>80</v>
      </c>
      <c r="I104" s="131" t="s">
        <v>1077</v>
      </c>
      <c r="J104" s="139" t="s">
        <v>26</v>
      </c>
      <c r="K104" s="141" t="s">
        <v>358</v>
      </c>
      <c r="L104" s="168">
        <v>44763</v>
      </c>
      <c r="M104" s="147">
        <f t="shared" si="6"/>
        <v>7</v>
      </c>
    </row>
    <row r="105" spans="1:13" ht="16.5" hidden="1" customHeight="1" x14ac:dyDescent="0.2">
      <c r="B105" s="134" t="s">
        <v>1192</v>
      </c>
      <c r="C105" s="134" t="s">
        <v>1170</v>
      </c>
      <c r="D105" s="136"/>
      <c r="E105" s="135" t="s">
        <v>8</v>
      </c>
      <c r="F105" s="157" t="s">
        <v>933</v>
      </c>
      <c r="G105" s="144">
        <f>IF(B105="","",2)</f>
        <v>2</v>
      </c>
      <c r="H105" s="136" t="s">
        <v>17</v>
      </c>
      <c r="I105" s="136" t="s">
        <v>1090</v>
      </c>
      <c r="J105" s="138" t="s">
        <v>67</v>
      </c>
      <c r="K105" s="140" t="s">
        <v>8</v>
      </c>
      <c r="L105" s="168">
        <v>44753</v>
      </c>
      <c r="M105" s="147">
        <f t="shared" si="6"/>
        <v>17</v>
      </c>
    </row>
    <row r="106" spans="1:13" ht="16.5" hidden="1" customHeight="1" x14ac:dyDescent="0.2">
      <c r="B106" s="132" t="s">
        <v>136</v>
      </c>
      <c r="C106" s="132" t="s">
        <v>1094</v>
      </c>
      <c r="D106" s="175"/>
      <c r="E106" s="149" t="s">
        <v>1076</v>
      </c>
      <c r="F106" s="156" t="s">
        <v>1028</v>
      </c>
      <c r="G106" s="143">
        <f>IF(B106="","",2)</f>
        <v>2</v>
      </c>
      <c r="H106" s="131" t="s">
        <v>20</v>
      </c>
      <c r="I106" s="131" t="s">
        <v>1077</v>
      </c>
      <c r="J106" s="139" t="s">
        <v>20</v>
      </c>
      <c r="K106" s="141" t="s">
        <v>358</v>
      </c>
      <c r="L106" s="168">
        <v>44768</v>
      </c>
      <c r="M106" s="147">
        <f t="shared" si="6"/>
        <v>2</v>
      </c>
    </row>
    <row r="107" spans="1:13" ht="16.5" hidden="1" customHeight="1" x14ac:dyDescent="0.2">
      <c r="B107" s="132" t="s">
        <v>1243</v>
      </c>
      <c r="C107" s="132" t="s">
        <v>1093</v>
      </c>
      <c r="D107" s="131"/>
      <c r="E107" s="133" t="s">
        <v>8</v>
      </c>
      <c r="F107" s="156" t="s">
        <v>932</v>
      </c>
      <c r="G107" s="143">
        <f>IF(B107="","",1)</f>
        <v>1</v>
      </c>
      <c r="H107" s="131" t="s">
        <v>17</v>
      </c>
      <c r="I107" s="131" t="s">
        <v>1077</v>
      </c>
      <c r="J107" s="139" t="s">
        <v>17</v>
      </c>
      <c r="K107" s="140" t="s">
        <v>8</v>
      </c>
      <c r="L107" s="168">
        <v>44760</v>
      </c>
      <c r="M107" s="147">
        <f t="shared" si="6"/>
        <v>10</v>
      </c>
    </row>
    <row r="108" spans="1:13" ht="16.5" hidden="1" customHeight="1" x14ac:dyDescent="0.2">
      <c r="A108" s="1" t="s">
        <v>1073</v>
      </c>
      <c r="B108" s="132" t="s">
        <v>1264</v>
      </c>
      <c r="C108" s="132" t="s">
        <v>1191</v>
      </c>
      <c r="D108" s="175"/>
      <c r="E108" s="133" t="s">
        <v>93</v>
      </c>
      <c r="F108" s="156" t="s">
        <v>990</v>
      </c>
      <c r="G108" s="143">
        <f>IF(B108="","",2)</f>
        <v>2</v>
      </c>
      <c r="H108" s="131" t="s">
        <v>89</v>
      </c>
      <c r="I108" s="131" t="s">
        <v>1077</v>
      </c>
      <c r="J108" s="139" t="s">
        <v>21</v>
      </c>
      <c r="K108" s="142" t="s">
        <v>59</v>
      </c>
      <c r="L108" s="168">
        <v>44761</v>
      </c>
      <c r="M108" s="147">
        <f t="shared" si="6"/>
        <v>9</v>
      </c>
    </row>
    <row r="109" spans="1:13" ht="16.5" hidden="1" customHeight="1" x14ac:dyDescent="0.2">
      <c r="B109" s="132" t="s">
        <v>1281</v>
      </c>
      <c r="C109" s="132" t="s">
        <v>1078</v>
      </c>
      <c r="D109" s="131"/>
      <c r="E109" s="133" t="s">
        <v>1076</v>
      </c>
      <c r="F109" s="156" t="s">
        <v>915</v>
      </c>
      <c r="G109" s="143">
        <f>IF(B109="","",1)</f>
        <v>1</v>
      </c>
      <c r="H109" s="131" t="s">
        <v>79</v>
      </c>
      <c r="I109" s="131" t="s">
        <v>1077</v>
      </c>
      <c r="J109" s="139" t="s">
        <v>10</v>
      </c>
      <c r="K109" s="141" t="s">
        <v>358</v>
      </c>
      <c r="L109" s="88">
        <v>44765</v>
      </c>
      <c r="M109" s="51">
        <f t="shared" si="6"/>
        <v>5</v>
      </c>
    </row>
    <row r="110" spans="1:13" ht="16.5" hidden="1" customHeight="1" x14ac:dyDescent="0.2">
      <c r="A110" s="1" t="s">
        <v>1056</v>
      </c>
      <c r="B110" s="132" t="s">
        <v>286</v>
      </c>
      <c r="C110" s="132" t="s">
        <v>1223</v>
      </c>
      <c r="D110" s="160"/>
      <c r="E110" s="149" t="s">
        <v>1076</v>
      </c>
      <c r="F110" s="156" t="s">
        <v>1039</v>
      </c>
      <c r="G110" s="143">
        <f>IF(B110="","",1)</f>
        <v>1</v>
      </c>
      <c r="H110" s="131" t="s">
        <v>79</v>
      </c>
      <c r="I110" s="131" t="s">
        <v>1077</v>
      </c>
      <c r="J110" s="139" t="s">
        <v>24</v>
      </c>
      <c r="K110" s="141" t="s">
        <v>358</v>
      </c>
      <c r="L110" s="168">
        <v>44758</v>
      </c>
      <c r="M110" s="147">
        <f t="shared" si="6"/>
        <v>12</v>
      </c>
    </row>
    <row r="111" spans="1:13" ht="16.5" hidden="1" customHeight="1" x14ac:dyDescent="0.2">
      <c r="A111" s="1">
        <v>0</v>
      </c>
      <c r="B111" s="132" t="s">
        <v>1286</v>
      </c>
      <c r="C111" s="148" t="s">
        <v>1287</v>
      </c>
      <c r="D111" s="175"/>
      <c r="E111" s="155" t="s">
        <v>93</v>
      </c>
      <c r="F111" s="156" t="s">
        <v>965</v>
      </c>
      <c r="G111" s="143">
        <f>IF(B111="","",1)</f>
        <v>1</v>
      </c>
      <c r="H111" s="131" t="s">
        <v>89</v>
      </c>
      <c r="I111" s="131" t="s">
        <v>1077</v>
      </c>
      <c r="J111" s="139" t="s">
        <v>1066</v>
      </c>
      <c r="K111" s="141" t="s">
        <v>358</v>
      </c>
      <c r="L111" s="168">
        <v>44765</v>
      </c>
      <c r="M111" s="147">
        <f t="shared" si="6"/>
        <v>5</v>
      </c>
    </row>
    <row r="112" spans="1:13" ht="16.5" hidden="1" customHeight="1" x14ac:dyDescent="0.2">
      <c r="B112" s="132" t="s">
        <v>1336</v>
      </c>
      <c r="C112" s="148" t="s">
        <v>1093</v>
      </c>
      <c r="D112" s="131"/>
      <c r="E112" s="133" t="s">
        <v>8</v>
      </c>
      <c r="F112" s="156" t="s">
        <v>948</v>
      </c>
      <c r="G112" s="143">
        <f>IF(B112="","",2)</f>
        <v>2</v>
      </c>
      <c r="H112" s="131" t="s">
        <v>17</v>
      </c>
      <c r="I112" s="131" t="s">
        <v>1077</v>
      </c>
      <c r="J112" s="139" t="s">
        <v>17</v>
      </c>
      <c r="K112" s="140" t="s">
        <v>8</v>
      </c>
      <c r="L112" s="168">
        <v>44760</v>
      </c>
      <c r="M112" s="51">
        <f t="shared" si="6"/>
        <v>10</v>
      </c>
    </row>
    <row r="113" spans="1:13" ht="16.5" hidden="1" customHeight="1" x14ac:dyDescent="0.2">
      <c r="B113" s="132" t="s">
        <v>187</v>
      </c>
      <c r="C113" s="132" t="s">
        <v>1244</v>
      </c>
      <c r="D113" s="131"/>
      <c r="E113" s="133" t="s">
        <v>8</v>
      </c>
      <c r="F113" s="156" t="s">
        <v>934</v>
      </c>
      <c r="G113" s="143">
        <f>IF(B113="","",2)</f>
        <v>2</v>
      </c>
      <c r="H113" s="131" t="s">
        <v>17</v>
      </c>
      <c r="I113" s="131" t="s">
        <v>1077</v>
      </c>
      <c r="J113" s="139" t="s">
        <v>67</v>
      </c>
      <c r="K113" s="140" t="s">
        <v>8</v>
      </c>
      <c r="L113" s="168">
        <v>44760</v>
      </c>
      <c r="M113" s="147">
        <f t="shared" si="6"/>
        <v>10</v>
      </c>
    </row>
    <row r="114" spans="1:13" ht="16.5" hidden="1" customHeight="1" x14ac:dyDescent="0.2">
      <c r="B114" s="132" t="s">
        <v>1359</v>
      </c>
      <c r="C114" s="160" t="s">
        <v>1360</v>
      </c>
      <c r="D114" s="175"/>
      <c r="E114" s="133" t="s">
        <v>1141</v>
      </c>
      <c r="F114" s="156" t="s">
        <v>968</v>
      </c>
      <c r="G114" s="143">
        <f>IF(B114="","",3)</f>
        <v>3</v>
      </c>
      <c r="H114" s="131" t="s">
        <v>1069</v>
      </c>
      <c r="I114" s="131" t="s">
        <v>1077</v>
      </c>
      <c r="J114" s="139" t="s">
        <v>1065</v>
      </c>
      <c r="K114" s="141" t="s">
        <v>358</v>
      </c>
      <c r="L114" s="168">
        <v>44769</v>
      </c>
      <c r="M114" s="51">
        <f t="shared" si="6"/>
        <v>1</v>
      </c>
    </row>
    <row r="115" spans="1:13" ht="16.5" hidden="1" customHeight="1" x14ac:dyDescent="0.2">
      <c r="A115" s="1">
        <v>44404</v>
      </c>
      <c r="B115" s="132" t="s">
        <v>1324</v>
      </c>
      <c r="C115" s="148" t="s">
        <v>1135</v>
      </c>
      <c r="D115" s="175"/>
      <c r="E115" s="149" t="s">
        <v>8</v>
      </c>
      <c r="F115" s="156" t="s">
        <v>951</v>
      </c>
      <c r="G115" s="143">
        <f>IF(B115="","",1)</f>
        <v>1</v>
      </c>
      <c r="H115" s="131" t="s">
        <v>17</v>
      </c>
      <c r="I115" s="131" t="s">
        <v>1090</v>
      </c>
      <c r="J115" s="139" t="s">
        <v>67</v>
      </c>
      <c r="K115" s="140" t="s">
        <v>8</v>
      </c>
      <c r="L115" s="168">
        <v>44767</v>
      </c>
      <c r="M115" s="147">
        <f t="shared" si="6"/>
        <v>3</v>
      </c>
    </row>
    <row r="116" spans="1:13" ht="16.5" hidden="1" customHeight="1" x14ac:dyDescent="0.2">
      <c r="B116" s="132" t="s">
        <v>1342</v>
      </c>
      <c r="C116" s="148" t="s">
        <v>1233</v>
      </c>
      <c r="D116" s="175"/>
      <c r="E116" s="133" t="s">
        <v>1117</v>
      </c>
      <c r="F116" s="158" t="s">
        <v>989</v>
      </c>
      <c r="G116" s="143">
        <f>IF(B116="","",1)</f>
        <v>1</v>
      </c>
      <c r="H116" s="131" t="s">
        <v>1069</v>
      </c>
      <c r="I116" s="131" t="s">
        <v>1077</v>
      </c>
      <c r="J116" s="139" t="s">
        <v>21</v>
      </c>
      <c r="K116" s="142" t="s">
        <v>59</v>
      </c>
      <c r="L116" s="168">
        <v>44768</v>
      </c>
      <c r="M116" s="147">
        <f t="shared" si="6"/>
        <v>2</v>
      </c>
    </row>
    <row r="117" spans="1:13" ht="16.5" hidden="1" customHeight="1" x14ac:dyDescent="0.2">
      <c r="A117" s="1">
        <v>44706</v>
      </c>
      <c r="B117" s="132" t="s">
        <v>1338</v>
      </c>
      <c r="C117" s="132" t="s">
        <v>109</v>
      </c>
      <c r="D117" s="131"/>
      <c r="E117" s="133" t="s">
        <v>1076</v>
      </c>
      <c r="F117" s="156" t="s">
        <v>910</v>
      </c>
      <c r="G117" s="143">
        <f>IF(B117="","",2)</f>
        <v>2</v>
      </c>
      <c r="H117" s="131" t="s">
        <v>80</v>
      </c>
      <c r="I117" s="131" t="s">
        <v>1077</v>
      </c>
      <c r="J117" s="139" t="s">
        <v>9</v>
      </c>
      <c r="K117" s="141" t="s">
        <v>358</v>
      </c>
      <c r="L117" s="168">
        <v>44768</v>
      </c>
      <c r="M117" s="147">
        <f t="shared" si="6"/>
        <v>2</v>
      </c>
    </row>
    <row r="118" spans="1:13" ht="16.5" hidden="1" customHeight="1" x14ac:dyDescent="0.2">
      <c r="A118" s="1" t="s">
        <v>1056</v>
      </c>
      <c r="B118" s="134" t="s">
        <v>1367</v>
      </c>
      <c r="C118" s="134" t="s">
        <v>1149</v>
      </c>
      <c r="D118" s="136"/>
      <c r="E118" s="152" t="s">
        <v>1076</v>
      </c>
      <c r="F118" s="159" t="s">
        <v>885</v>
      </c>
      <c r="G118" s="145">
        <f>IF(B118="","",1)</f>
        <v>1</v>
      </c>
      <c r="H118" s="136" t="s">
        <v>80</v>
      </c>
      <c r="I118" s="136" t="s">
        <v>1077</v>
      </c>
      <c r="J118" s="138" t="s">
        <v>44</v>
      </c>
      <c r="K118" s="141" t="s">
        <v>358</v>
      </c>
      <c r="L118" s="168">
        <v>44769</v>
      </c>
      <c r="M118" s="147">
        <f t="shared" si="6"/>
        <v>1</v>
      </c>
    </row>
    <row r="119" spans="1:13" ht="16.5" hidden="1" customHeight="1" x14ac:dyDescent="0.2">
      <c r="B119" s="132" t="s">
        <v>1325</v>
      </c>
      <c r="C119" s="132" t="s">
        <v>1228</v>
      </c>
      <c r="D119" s="131"/>
      <c r="E119" s="133" t="s">
        <v>53</v>
      </c>
      <c r="F119" s="156" t="s">
        <v>906</v>
      </c>
      <c r="G119" s="143">
        <f>IF(B119="","",2)</f>
        <v>2</v>
      </c>
      <c r="H119" s="131" t="s">
        <v>89</v>
      </c>
      <c r="I119" s="131" t="s">
        <v>1077</v>
      </c>
      <c r="J119" s="139" t="s">
        <v>9</v>
      </c>
      <c r="K119" s="141" t="s">
        <v>358</v>
      </c>
      <c r="L119" s="168">
        <v>44767</v>
      </c>
      <c r="M119" s="147">
        <f t="shared" si="6"/>
        <v>3</v>
      </c>
    </row>
    <row r="120" spans="1:13" ht="16.5" hidden="1" customHeight="1" x14ac:dyDescent="0.2">
      <c r="B120" s="132" t="s">
        <v>1302</v>
      </c>
      <c r="C120" s="132" t="s">
        <v>1312</v>
      </c>
      <c r="D120" s="132"/>
      <c r="E120" s="149" t="s">
        <v>1076</v>
      </c>
      <c r="F120" s="156" t="s">
        <v>979</v>
      </c>
      <c r="G120" s="143">
        <f>IF(B120="","",3)</f>
        <v>3</v>
      </c>
      <c r="H120" s="131" t="s">
        <v>114</v>
      </c>
      <c r="I120" s="131" t="s">
        <v>1077</v>
      </c>
      <c r="J120" s="139" t="s">
        <v>1125</v>
      </c>
      <c r="K120" s="142" t="s">
        <v>59</v>
      </c>
      <c r="L120" s="168">
        <v>44766</v>
      </c>
      <c r="M120" s="147">
        <f t="shared" si="6"/>
        <v>4</v>
      </c>
    </row>
    <row r="121" spans="1:13" ht="16.5" hidden="1" customHeight="1" x14ac:dyDescent="0.2">
      <c r="A121" s="1">
        <v>44442</v>
      </c>
      <c r="B121" s="132" t="s">
        <v>1225</v>
      </c>
      <c r="C121" s="132" t="s">
        <v>1158</v>
      </c>
      <c r="D121" s="131"/>
      <c r="E121" s="133" t="s">
        <v>1064</v>
      </c>
      <c r="F121" s="156" t="s">
        <v>940</v>
      </c>
      <c r="G121" s="143">
        <f>IF(B121="","",2)</f>
        <v>2</v>
      </c>
      <c r="H121" s="131" t="s">
        <v>1069</v>
      </c>
      <c r="I121" s="131" t="s">
        <v>1122</v>
      </c>
      <c r="J121" s="139" t="s">
        <v>1067</v>
      </c>
      <c r="K121" s="141" t="s">
        <v>358</v>
      </c>
      <c r="L121" s="168">
        <v>44759</v>
      </c>
      <c r="M121" s="51">
        <f t="shared" si="6"/>
        <v>11</v>
      </c>
    </row>
    <row r="122" spans="1:13" ht="16.5" hidden="1" customHeight="1" x14ac:dyDescent="0.2">
      <c r="A122" s="1" t="s">
        <v>1056</v>
      </c>
      <c r="B122" s="132" t="s">
        <v>1195</v>
      </c>
      <c r="C122" s="148" t="s">
        <v>110</v>
      </c>
      <c r="D122" s="161"/>
      <c r="E122" s="149" t="s">
        <v>1076</v>
      </c>
      <c r="F122" s="156" t="s">
        <v>1007</v>
      </c>
      <c r="G122" s="143">
        <f>IF(B122="","",1)</f>
        <v>1</v>
      </c>
      <c r="H122" s="131" t="s">
        <v>80</v>
      </c>
      <c r="I122" s="131" t="s">
        <v>1077</v>
      </c>
      <c r="J122" s="139" t="s">
        <v>29</v>
      </c>
      <c r="K122" s="141" t="s">
        <v>358</v>
      </c>
      <c r="L122" s="88">
        <v>44754</v>
      </c>
      <c r="M122" s="51">
        <f t="shared" si="6"/>
        <v>16</v>
      </c>
    </row>
    <row r="123" spans="1:13" ht="16.5" hidden="1" customHeight="1" x14ac:dyDescent="0.2">
      <c r="A123" s="1">
        <v>176</v>
      </c>
      <c r="B123" s="132" t="s">
        <v>1217</v>
      </c>
      <c r="C123" s="132" t="s">
        <v>1218</v>
      </c>
      <c r="D123" s="174"/>
      <c r="E123" s="155" t="s">
        <v>1076</v>
      </c>
      <c r="F123" s="156" t="s">
        <v>960</v>
      </c>
      <c r="G123" s="143">
        <f>IF(B123="","",3)</f>
        <v>3</v>
      </c>
      <c r="H123" s="131" t="s">
        <v>82</v>
      </c>
      <c r="I123" s="131" t="s">
        <v>1090</v>
      </c>
      <c r="J123" s="139" t="s">
        <v>1065</v>
      </c>
      <c r="K123" s="141" t="s">
        <v>358</v>
      </c>
      <c r="L123" s="168">
        <v>44758</v>
      </c>
      <c r="M123" s="147">
        <f t="shared" si="6"/>
        <v>12</v>
      </c>
    </row>
    <row r="124" spans="1:13" ht="18.75" hidden="1" customHeight="1" x14ac:dyDescent="0.2">
      <c r="B124" s="132" t="s">
        <v>1356</v>
      </c>
      <c r="C124" s="132" t="s">
        <v>1193</v>
      </c>
      <c r="D124" s="175"/>
      <c r="E124" s="149" t="s">
        <v>99</v>
      </c>
      <c r="F124" s="156" t="s">
        <v>974</v>
      </c>
      <c r="G124" s="143">
        <f>IF(B124="","",3)</f>
        <v>3</v>
      </c>
      <c r="H124" s="131" t="s">
        <v>1069</v>
      </c>
      <c r="I124" s="131" t="s">
        <v>1077</v>
      </c>
      <c r="J124" s="139" t="s">
        <v>1116</v>
      </c>
      <c r="K124" s="142" t="s">
        <v>59</v>
      </c>
      <c r="L124" s="168">
        <v>44769</v>
      </c>
      <c r="M124" s="147">
        <f t="shared" si="6"/>
        <v>1</v>
      </c>
    </row>
    <row r="125" spans="1:13" ht="16.5" hidden="1" customHeight="1" x14ac:dyDescent="0.2">
      <c r="A125" s="48"/>
      <c r="B125" s="132" t="s">
        <v>1257</v>
      </c>
      <c r="C125" s="132" t="s">
        <v>1179</v>
      </c>
      <c r="D125" s="131"/>
      <c r="E125" s="149" t="s">
        <v>1076</v>
      </c>
      <c r="F125" s="156" t="s">
        <v>1036</v>
      </c>
      <c r="G125" s="143">
        <f>IF(B125="","",2)</f>
        <v>2</v>
      </c>
      <c r="H125" s="131" t="s">
        <v>85</v>
      </c>
      <c r="I125" s="131" t="s">
        <v>1077</v>
      </c>
      <c r="J125" s="139" t="s">
        <v>38</v>
      </c>
      <c r="K125" s="141" t="s">
        <v>358</v>
      </c>
      <c r="L125" s="168">
        <v>44762</v>
      </c>
      <c r="M125" s="147">
        <f t="shared" si="6"/>
        <v>8</v>
      </c>
    </row>
    <row r="126" spans="1:13" ht="16.5" hidden="1" customHeight="1" x14ac:dyDescent="0.2">
      <c r="B126" s="132" t="s">
        <v>739</v>
      </c>
      <c r="C126" s="160" t="s">
        <v>1333</v>
      </c>
      <c r="D126" s="132"/>
      <c r="E126" s="149" t="s">
        <v>1064</v>
      </c>
      <c r="F126" s="156" t="s">
        <v>980</v>
      </c>
      <c r="G126" s="143">
        <f>IF(B126="","",3)</f>
        <v>3</v>
      </c>
      <c r="H126" s="131" t="s">
        <v>1069</v>
      </c>
      <c r="I126" s="131" t="s">
        <v>1077</v>
      </c>
      <c r="J126" s="139" t="s">
        <v>1125</v>
      </c>
      <c r="K126" s="142" t="s">
        <v>59</v>
      </c>
      <c r="L126" s="168">
        <v>44767</v>
      </c>
      <c r="M126" s="51">
        <f t="shared" si="6"/>
        <v>3</v>
      </c>
    </row>
    <row r="127" spans="1:13" ht="16.5" hidden="1" customHeight="1" x14ac:dyDescent="0.2">
      <c r="B127" s="132" t="s">
        <v>1303</v>
      </c>
      <c r="C127" s="148" t="s">
        <v>1313</v>
      </c>
      <c r="D127" s="131"/>
      <c r="E127" s="133" t="s">
        <v>1105</v>
      </c>
      <c r="F127" s="156" t="s">
        <v>1050</v>
      </c>
      <c r="G127" s="143">
        <f>IF(B127="","",2)</f>
        <v>2</v>
      </c>
      <c r="H127" s="131" t="s">
        <v>1069</v>
      </c>
      <c r="I127" s="131" t="s">
        <v>1077</v>
      </c>
      <c r="J127" s="139" t="s">
        <v>1065</v>
      </c>
      <c r="K127" s="141" t="s">
        <v>358</v>
      </c>
      <c r="L127" s="168">
        <v>44766</v>
      </c>
      <c r="M127" s="51">
        <f t="shared" si="6"/>
        <v>4</v>
      </c>
    </row>
    <row r="128" spans="1:13" ht="16.5" hidden="1" customHeight="1" x14ac:dyDescent="0.2">
      <c r="B128" s="132" t="s">
        <v>261</v>
      </c>
      <c r="C128" s="132" t="s">
        <v>1078</v>
      </c>
      <c r="D128" s="148"/>
      <c r="E128" s="133" t="s">
        <v>1076</v>
      </c>
      <c r="F128" s="156" t="s">
        <v>919</v>
      </c>
      <c r="G128" s="143">
        <f>IF(B128="","",1)</f>
        <v>1</v>
      </c>
      <c r="H128" s="131" t="s">
        <v>79</v>
      </c>
      <c r="I128" s="131" t="s">
        <v>1077</v>
      </c>
      <c r="J128" s="139" t="s">
        <v>10</v>
      </c>
      <c r="K128" s="141" t="s">
        <v>358</v>
      </c>
      <c r="L128" s="168">
        <v>44758</v>
      </c>
      <c r="M128" s="147">
        <f t="shared" si="6"/>
        <v>12</v>
      </c>
    </row>
    <row r="129" spans="1:13" ht="16.5" hidden="1" customHeight="1" x14ac:dyDescent="0.2">
      <c r="B129" s="132" t="s">
        <v>1351</v>
      </c>
      <c r="C129" s="148" t="s">
        <v>1096</v>
      </c>
      <c r="D129" s="131"/>
      <c r="E129" s="133" t="s">
        <v>1076</v>
      </c>
      <c r="F129" s="156" t="s">
        <v>920</v>
      </c>
      <c r="G129" s="143">
        <f>IF(B129="","",1)</f>
        <v>1</v>
      </c>
      <c r="H129" s="131" t="s">
        <v>79</v>
      </c>
      <c r="I129" s="131" t="s">
        <v>1077</v>
      </c>
      <c r="J129" s="139" t="s">
        <v>15</v>
      </c>
      <c r="K129" s="141" t="s">
        <v>358</v>
      </c>
      <c r="L129" s="168">
        <v>44769</v>
      </c>
      <c r="M129" s="51">
        <f t="shared" si="6"/>
        <v>1</v>
      </c>
    </row>
    <row r="130" spans="1:13" ht="16.5" hidden="1" customHeight="1" x14ac:dyDescent="0.2">
      <c r="B130" s="132" t="s">
        <v>1245</v>
      </c>
      <c r="C130" s="132" t="s">
        <v>1093</v>
      </c>
      <c r="D130" s="131"/>
      <c r="E130" s="133" t="s">
        <v>8</v>
      </c>
      <c r="F130" s="156" t="s">
        <v>949</v>
      </c>
      <c r="G130" s="143">
        <f>IF(B130="","",2)</f>
        <v>2</v>
      </c>
      <c r="H130" s="131" t="s">
        <v>17</v>
      </c>
      <c r="I130" s="131" t="s">
        <v>1077</v>
      </c>
      <c r="J130" s="139" t="s">
        <v>17</v>
      </c>
      <c r="K130" s="140" t="s">
        <v>8</v>
      </c>
      <c r="L130" s="168">
        <v>44760</v>
      </c>
      <c r="M130" s="147">
        <f t="shared" si="6"/>
        <v>10</v>
      </c>
    </row>
    <row r="131" spans="1:13" ht="16.5" hidden="1" customHeight="1" x14ac:dyDescent="0.2">
      <c r="B131" s="132" t="s">
        <v>1326</v>
      </c>
      <c r="C131" s="148" t="s">
        <v>1093</v>
      </c>
      <c r="D131" s="175"/>
      <c r="E131" s="149" t="s">
        <v>8</v>
      </c>
      <c r="F131" s="156" t="s">
        <v>946</v>
      </c>
      <c r="G131" s="143">
        <f>IF(B131="","",2)</f>
        <v>2</v>
      </c>
      <c r="H131" s="131" t="s">
        <v>17</v>
      </c>
      <c r="I131" s="131" t="s">
        <v>1077</v>
      </c>
      <c r="J131" s="139" t="s">
        <v>17</v>
      </c>
      <c r="K131" s="140" t="s">
        <v>8</v>
      </c>
      <c r="L131" s="168">
        <v>44767</v>
      </c>
      <c r="M131" s="147">
        <f t="shared" si="6"/>
        <v>3</v>
      </c>
    </row>
    <row r="132" spans="1:13" ht="16.5" hidden="1" customHeight="1" x14ac:dyDescent="0.2">
      <c r="A132" s="1">
        <v>44748</v>
      </c>
      <c r="B132" s="132" t="s">
        <v>1214</v>
      </c>
      <c r="C132" s="160" t="s">
        <v>1215</v>
      </c>
      <c r="D132" s="131"/>
      <c r="E132" s="133" t="s">
        <v>61</v>
      </c>
      <c r="F132" s="156" t="s">
        <v>941</v>
      </c>
      <c r="G132" s="143">
        <f>IF(B132="","",2)</f>
        <v>2</v>
      </c>
      <c r="H132" s="131" t="s">
        <v>89</v>
      </c>
      <c r="I132" s="131" t="s">
        <v>1077</v>
      </c>
      <c r="J132" s="139" t="s">
        <v>1067</v>
      </c>
      <c r="K132" s="141" t="s">
        <v>358</v>
      </c>
      <c r="L132" s="168">
        <v>44758</v>
      </c>
      <c r="M132" s="147">
        <f t="shared" si="6"/>
        <v>12</v>
      </c>
    </row>
    <row r="133" spans="1:13" ht="16.5" hidden="1" customHeight="1" x14ac:dyDescent="0.2">
      <c r="B133" s="132" t="s">
        <v>1227</v>
      </c>
      <c r="C133" s="132" t="s">
        <v>1228</v>
      </c>
      <c r="D133" s="131"/>
      <c r="E133" s="133" t="s">
        <v>53</v>
      </c>
      <c r="F133" s="156" t="s">
        <v>956</v>
      </c>
      <c r="G133" s="143">
        <f>IF(B133="","",1)</f>
        <v>1</v>
      </c>
      <c r="H133" s="131" t="s">
        <v>89</v>
      </c>
      <c r="I133" s="131" t="s">
        <v>1077</v>
      </c>
      <c r="J133" s="139" t="s">
        <v>1065</v>
      </c>
      <c r="K133" s="141" t="s">
        <v>358</v>
      </c>
      <c r="L133" s="88">
        <v>44759</v>
      </c>
      <c r="M133" s="51">
        <f t="shared" ref="M133:M164" si="7">IF(L133="","",$K$3-L133+1)</f>
        <v>11</v>
      </c>
    </row>
    <row r="134" spans="1:13" ht="16.5" hidden="1" customHeight="1" x14ac:dyDescent="0.2">
      <c r="B134" s="132" t="s">
        <v>250</v>
      </c>
      <c r="C134" s="132" t="s">
        <v>1089</v>
      </c>
      <c r="D134" s="131"/>
      <c r="E134" s="149" t="s">
        <v>1076</v>
      </c>
      <c r="F134" s="156" t="s">
        <v>1046</v>
      </c>
      <c r="G134" s="143">
        <f>IF(B134="","",3)</f>
        <v>3</v>
      </c>
      <c r="H134" s="131" t="s">
        <v>79</v>
      </c>
      <c r="I134" s="131" t="s">
        <v>1077</v>
      </c>
      <c r="J134" s="139" t="s">
        <v>24</v>
      </c>
      <c r="K134" s="141" t="s">
        <v>358</v>
      </c>
      <c r="L134" s="168">
        <v>44765</v>
      </c>
      <c r="M134" s="51">
        <f t="shared" si="7"/>
        <v>5</v>
      </c>
    </row>
    <row r="135" spans="1:13" ht="16.5" customHeight="1" x14ac:dyDescent="0.2">
      <c r="B135" s="132" t="s">
        <v>249</v>
      </c>
      <c r="C135" s="132" t="s">
        <v>1200</v>
      </c>
      <c r="D135" s="132"/>
      <c r="E135" s="133" t="s">
        <v>1076</v>
      </c>
      <c r="F135" s="156" t="s">
        <v>1044</v>
      </c>
      <c r="G135" s="143">
        <f>IF(B135="","",2)</f>
        <v>2</v>
      </c>
      <c r="H135" s="131" t="s">
        <v>79</v>
      </c>
      <c r="I135" s="131" t="s">
        <v>1077</v>
      </c>
      <c r="J135" s="139" t="s">
        <v>14</v>
      </c>
      <c r="K135" s="141" t="s">
        <v>358</v>
      </c>
      <c r="L135" s="168">
        <v>44769</v>
      </c>
      <c r="M135" s="147">
        <f t="shared" si="7"/>
        <v>1</v>
      </c>
    </row>
    <row r="136" spans="1:13" ht="16.5" hidden="1" customHeight="1" x14ac:dyDescent="0.2">
      <c r="B136" s="132" t="s">
        <v>202</v>
      </c>
      <c r="C136" s="148" t="s">
        <v>1183</v>
      </c>
      <c r="D136" s="175"/>
      <c r="E136" s="133" t="s">
        <v>1076</v>
      </c>
      <c r="F136" s="156" t="s">
        <v>1008</v>
      </c>
      <c r="G136" s="143">
        <f>IF(B136="","",1)</f>
        <v>1</v>
      </c>
      <c r="H136" s="131" t="s">
        <v>80</v>
      </c>
      <c r="I136" s="131" t="s">
        <v>1077</v>
      </c>
      <c r="J136" s="139" t="s">
        <v>28</v>
      </c>
      <c r="K136" s="141" t="s">
        <v>358</v>
      </c>
      <c r="L136" s="168">
        <v>44768</v>
      </c>
      <c r="M136" s="51">
        <f t="shared" si="7"/>
        <v>2</v>
      </c>
    </row>
    <row r="137" spans="1:13" ht="16.5" hidden="1" customHeight="1" x14ac:dyDescent="0.2">
      <c r="B137" s="132" t="s">
        <v>1242</v>
      </c>
      <c r="C137" s="132" t="s">
        <v>1120</v>
      </c>
      <c r="D137" s="131"/>
      <c r="E137" s="133" t="s">
        <v>1108</v>
      </c>
      <c r="F137" s="156" t="s">
        <v>1053</v>
      </c>
      <c r="G137" s="143">
        <f>IF(B137="","",1)</f>
        <v>1</v>
      </c>
      <c r="H137" s="131" t="s">
        <v>1069</v>
      </c>
      <c r="I137" s="131" t="s">
        <v>1077</v>
      </c>
      <c r="J137" s="139" t="s">
        <v>120</v>
      </c>
      <c r="K137" s="142" t="s">
        <v>59</v>
      </c>
      <c r="L137" s="168">
        <v>44760</v>
      </c>
      <c r="M137" s="147">
        <f t="shared" si="7"/>
        <v>10</v>
      </c>
    </row>
    <row r="138" spans="1:13" ht="16.5" hidden="1" customHeight="1" x14ac:dyDescent="0.2">
      <c r="B138" s="132" t="s">
        <v>198</v>
      </c>
      <c r="C138" s="185" t="s">
        <v>110</v>
      </c>
      <c r="D138" s="185" t="s">
        <v>1088</v>
      </c>
      <c r="E138" s="149" t="s">
        <v>1076</v>
      </c>
      <c r="F138" s="156" t="s">
        <v>1001</v>
      </c>
      <c r="G138" s="143">
        <f>IF(B138="","",2)</f>
        <v>2</v>
      </c>
      <c r="H138" s="131" t="s">
        <v>80</v>
      </c>
      <c r="I138" s="131" t="s">
        <v>1077</v>
      </c>
      <c r="J138" s="139" t="s">
        <v>26</v>
      </c>
      <c r="K138" s="141" t="s">
        <v>358</v>
      </c>
      <c r="L138" s="88">
        <v>44768</v>
      </c>
      <c r="M138" s="51">
        <f t="shared" si="7"/>
        <v>2</v>
      </c>
    </row>
    <row r="139" spans="1:13" ht="16.5" hidden="1" customHeight="1" x14ac:dyDescent="0.2">
      <c r="B139" s="132" t="s">
        <v>1339</v>
      </c>
      <c r="C139" s="132" t="s">
        <v>109</v>
      </c>
      <c r="D139" s="132" t="s">
        <v>1132</v>
      </c>
      <c r="E139" s="133" t="s">
        <v>1076</v>
      </c>
      <c r="F139" s="156" t="s">
        <v>913</v>
      </c>
      <c r="G139" s="143">
        <f>IF(B139="","",1)</f>
        <v>1</v>
      </c>
      <c r="H139" s="131" t="s">
        <v>80</v>
      </c>
      <c r="I139" s="131" t="s">
        <v>1077</v>
      </c>
      <c r="J139" s="139" t="s">
        <v>9</v>
      </c>
      <c r="K139" s="141" t="s">
        <v>358</v>
      </c>
      <c r="L139" s="88">
        <v>44768</v>
      </c>
      <c r="M139" s="51">
        <f t="shared" si="7"/>
        <v>2</v>
      </c>
    </row>
    <row r="140" spans="1:13" ht="16.5" hidden="1" customHeight="1" x14ac:dyDescent="0.2">
      <c r="B140" s="132" t="s">
        <v>1247</v>
      </c>
      <c r="C140" s="148" t="s">
        <v>1234</v>
      </c>
      <c r="D140" s="175"/>
      <c r="E140" s="133" t="s">
        <v>1117</v>
      </c>
      <c r="F140" s="156" t="s">
        <v>983</v>
      </c>
      <c r="G140" s="143">
        <f>IF(B140="","",3)</f>
        <v>3</v>
      </c>
      <c r="H140" s="131" t="s">
        <v>1069</v>
      </c>
      <c r="I140" s="131" t="s">
        <v>1077</v>
      </c>
      <c r="J140" s="139" t="s">
        <v>21</v>
      </c>
      <c r="K140" s="142" t="s">
        <v>59</v>
      </c>
      <c r="L140" s="168">
        <v>44759</v>
      </c>
      <c r="M140" s="51">
        <f t="shared" si="7"/>
        <v>11</v>
      </c>
    </row>
    <row r="141" spans="1:13" ht="16.5" hidden="1" customHeight="1" x14ac:dyDescent="0.2">
      <c r="B141" s="132" t="s">
        <v>548</v>
      </c>
      <c r="C141" s="160" t="s">
        <v>1078</v>
      </c>
      <c r="D141" s="174"/>
      <c r="E141" s="133" t="s">
        <v>1076</v>
      </c>
      <c r="F141" s="156" t="s">
        <v>1083</v>
      </c>
      <c r="G141" s="143">
        <f>IF(B141="","",1)</f>
        <v>1</v>
      </c>
      <c r="H141" s="131" t="s">
        <v>79</v>
      </c>
      <c r="I141" s="131" t="s">
        <v>1077</v>
      </c>
      <c r="J141" s="139" t="s">
        <v>1065</v>
      </c>
      <c r="K141" s="141" t="s">
        <v>358</v>
      </c>
      <c r="L141" s="168">
        <v>44751</v>
      </c>
      <c r="M141" s="147">
        <f t="shared" si="7"/>
        <v>19</v>
      </c>
    </row>
    <row r="142" spans="1:13" ht="16.5" hidden="1" customHeight="1" x14ac:dyDescent="0.2">
      <c r="B142" s="134" t="s">
        <v>121</v>
      </c>
      <c r="C142" s="134" t="s">
        <v>1252</v>
      </c>
      <c r="D142" s="136"/>
      <c r="E142" s="135" t="s">
        <v>1076</v>
      </c>
      <c r="F142" s="159" t="s">
        <v>887</v>
      </c>
      <c r="G142" s="145">
        <f>IF(B142="","",1)</f>
        <v>1</v>
      </c>
      <c r="H142" s="136" t="s">
        <v>79</v>
      </c>
      <c r="I142" s="136" t="s">
        <v>1253</v>
      </c>
      <c r="J142" s="138" t="s">
        <v>1099</v>
      </c>
      <c r="K142" s="141" t="s">
        <v>358</v>
      </c>
      <c r="L142" s="168">
        <v>44761</v>
      </c>
      <c r="M142" s="51">
        <f t="shared" si="7"/>
        <v>9</v>
      </c>
    </row>
    <row r="143" spans="1:13" ht="16.5" hidden="1" customHeight="1" x14ac:dyDescent="0.2">
      <c r="A143" s="48" t="s">
        <v>1115</v>
      </c>
      <c r="B143" s="132" t="s">
        <v>1251</v>
      </c>
      <c r="C143" s="160" t="s">
        <v>1142</v>
      </c>
      <c r="D143" s="161"/>
      <c r="E143" s="133" t="s">
        <v>93</v>
      </c>
      <c r="F143" s="156" t="s">
        <v>997</v>
      </c>
      <c r="G143" s="143">
        <f>IF(B143="","",3)</f>
        <v>3</v>
      </c>
      <c r="H143" s="131" t="s">
        <v>89</v>
      </c>
      <c r="I143" s="131" t="s">
        <v>1077</v>
      </c>
      <c r="J143" s="139" t="s">
        <v>1153</v>
      </c>
      <c r="K143" s="142" t="s">
        <v>59</v>
      </c>
      <c r="L143" s="168">
        <v>44761</v>
      </c>
      <c r="M143" s="147">
        <f t="shared" si="7"/>
        <v>9</v>
      </c>
    </row>
    <row r="144" spans="1:13" ht="16.5" hidden="1" customHeight="1" x14ac:dyDescent="0.2">
      <c r="B144" s="132" t="s">
        <v>164</v>
      </c>
      <c r="C144" s="132" t="s">
        <v>1198</v>
      </c>
      <c r="D144" s="131"/>
      <c r="E144" s="149" t="s">
        <v>1076</v>
      </c>
      <c r="F144" s="156" t="s">
        <v>1024</v>
      </c>
      <c r="G144" s="143">
        <f>IF(B144="","",3)</f>
        <v>3</v>
      </c>
      <c r="H144" s="131" t="s">
        <v>84</v>
      </c>
      <c r="I144" s="131" t="s">
        <v>1077</v>
      </c>
      <c r="J144" s="139" t="s">
        <v>35</v>
      </c>
      <c r="K144" s="141" t="s">
        <v>358</v>
      </c>
      <c r="L144" s="88">
        <v>44762</v>
      </c>
      <c r="M144" s="51">
        <f t="shared" si="7"/>
        <v>8</v>
      </c>
    </row>
    <row r="145" spans="1:13" ht="16.5" hidden="1" customHeight="1" x14ac:dyDescent="0.2">
      <c r="A145" s="1">
        <v>44294</v>
      </c>
      <c r="B145" s="134" t="s">
        <v>196</v>
      </c>
      <c r="C145" s="134" t="s">
        <v>1160</v>
      </c>
      <c r="D145" s="136"/>
      <c r="E145" s="152" t="s">
        <v>1076</v>
      </c>
      <c r="F145" s="157" t="s">
        <v>886</v>
      </c>
      <c r="G145" s="145">
        <f>IF(B145="","",1)</f>
        <v>1</v>
      </c>
      <c r="H145" s="136" t="s">
        <v>80</v>
      </c>
      <c r="I145" s="136" t="s">
        <v>1077</v>
      </c>
      <c r="J145" s="138" t="s">
        <v>39</v>
      </c>
      <c r="K145" s="141" t="s">
        <v>358</v>
      </c>
      <c r="L145" s="88">
        <v>44763</v>
      </c>
      <c r="M145" s="51">
        <f t="shared" si="7"/>
        <v>7</v>
      </c>
    </row>
    <row r="146" spans="1:13" ht="16.5" hidden="1" customHeight="1" x14ac:dyDescent="0.2">
      <c r="B146" s="132" t="s">
        <v>1327</v>
      </c>
      <c r="C146" s="132" t="s">
        <v>1093</v>
      </c>
      <c r="D146" s="131"/>
      <c r="E146" s="133" t="s">
        <v>8</v>
      </c>
      <c r="F146" s="156" t="s">
        <v>935</v>
      </c>
      <c r="G146" s="143">
        <f>IF(B146="","",2)</f>
        <v>2</v>
      </c>
      <c r="H146" s="131" t="s">
        <v>17</v>
      </c>
      <c r="I146" s="131" t="s">
        <v>1077</v>
      </c>
      <c r="J146" s="139" t="s">
        <v>17</v>
      </c>
      <c r="K146" s="140" t="s">
        <v>8</v>
      </c>
      <c r="L146" s="168">
        <v>44767</v>
      </c>
      <c r="M146" s="147">
        <f t="shared" si="7"/>
        <v>3</v>
      </c>
    </row>
    <row r="147" spans="1:13" ht="16.5" hidden="1" customHeight="1" x14ac:dyDescent="0.2">
      <c r="B147" s="132" t="s">
        <v>1328</v>
      </c>
      <c r="C147" s="132" t="s">
        <v>1176</v>
      </c>
      <c r="D147" s="131"/>
      <c r="E147" s="133" t="s">
        <v>8</v>
      </c>
      <c r="F147" s="156" t="s">
        <v>953</v>
      </c>
      <c r="G147" s="143">
        <f>IF(B147="","",1)</f>
        <v>1</v>
      </c>
      <c r="H147" s="131" t="s">
        <v>17</v>
      </c>
      <c r="I147" s="131" t="s">
        <v>1077</v>
      </c>
      <c r="J147" s="139" t="s">
        <v>17</v>
      </c>
      <c r="K147" s="140" t="s">
        <v>8</v>
      </c>
      <c r="L147" s="168">
        <v>44767</v>
      </c>
      <c r="M147" s="147">
        <f t="shared" si="7"/>
        <v>3</v>
      </c>
    </row>
    <row r="148" spans="1:13" ht="16.5" hidden="1" customHeight="1" x14ac:dyDescent="0.2">
      <c r="A148" s="1">
        <v>44217</v>
      </c>
      <c r="B148" s="132" t="s">
        <v>559</v>
      </c>
      <c r="C148" s="148" t="s">
        <v>1244</v>
      </c>
      <c r="D148" s="175"/>
      <c r="E148" s="149" t="s">
        <v>8</v>
      </c>
      <c r="F148" s="156" t="s">
        <v>947</v>
      </c>
      <c r="G148" s="143">
        <f>IF(B148="","",2)</f>
        <v>2</v>
      </c>
      <c r="H148" s="131" t="s">
        <v>17</v>
      </c>
      <c r="I148" s="131" t="s">
        <v>1077</v>
      </c>
      <c r="J148" s="139" t="s">
        <v>17</v>
      </c>
      <c r="K148" s="140" t="s">
        <v>8</v>
      </c>
      <c r="L148" s="168">
        <v>44767</v>
      </c>
      <c r="M148" s="147">
        <f t="shared" si="7"/>
        <v>3</v>
      </c>
    </row>
    <row r="149" spans="1:13" ht="16.5" hidden="1" customHeight="1" x14ac:dyDescent="0.2">
      <c r="A149" s="1">
        <v>44595</v>
      </c>
      <c r="B149" s="132" t="s">
        <v>1357</v>
      </c>
      <c r="C149" s="132" t="s">
        <v>1358</v>
      </c>
      <c r="D149" s="131"/>
      <c r="E149" s="149" t="s">
        <v>1141</v>
      </c>
      <c r="F149" s="156" t="s">
        <v>967</v>
      </c>
      <c r="G149" s="143">
        <f>IF(B149="","",3)</f>
        <v>3</v>
      </c>
      <c r="H149" s="131" t="s">
        <v>1069</v>
      </c>
      <c r="I149" s="131" t="s">
        <v>1077</v>
      </c>
      <c r="J149" s="139" t="s">
        <v>1065</v>
      </c>
      <c r="K149" s="141" t="s">
        <v>358</v>
      </c>
      <c r="L149" s="168">
        <v>44769</v>
      </c>
      <c r="M149" s="147">
        <f t="shared" si="7"/>
        <v>1</v>
      </c>
    </row>
    <row r="150" spans="1:13" ht="16.5" hidden="1" customHeight="1" x14ac:dyDescent="0.2">
      <c r="B150" s="132" t="s">
        <v>1259</v>
      </c>
      <c r="C150" s="132" t="s">
        <v>1137</v>
      </c>
      <c r="D150" s="131"/>
      <c r="E150" s="133" t="s">
        <v>1076</v>
      </c>
      <c r="F150" s="156" t="s">
        <v>1051</v>
      </c>
      <c r="G150" s="143">
        <f>IF(B150="","",2)</f>
        <v>2</v>
      </c>
      <c r="H150" s="131" t="s">
        <v>87</v>
      </c>
      <c r="I150" s="131" t="s">
        <v>1077</v>
      </c>
      <c r="J150" s="139" t="s">
        <v>1123</v>
      </c>
      <c r="K150" s="141" t="s">
        <v>358</v>
      </c>
      <c r="L150" s="168">
        <v>44762</v>
      </c>
      <c r="M150" s="51">
        <f t="shared" si="7"/>
        <v>8</v>
      </c>
    </row>
    <row r="151" spans="1:13" ht="16.5" hidden="1" customHeight="1" x14ac:dyDescent="0.2">
      <c r="B151" s="132" t="s">
        <v>1329</v>
      </c>
      <c r="C151" s="160" t="s">
        <v>1093</v>
      </c>
      <c r="D151" s="132"/>
      <c r="E151" s="155" t="s">
        <v>8</v>
      </c>
      <c r="F151" s="156" t="s">
        <v>952</v>
      </c>
      <c r="G151" s="143">
        <f>IF(B151="","",1)</f>
        <v>1</v>
      </c>
      <c r="H151" s="131" t="s">
        <v>17</v>
      </c>
      <c r="I151" s="131" t="s">
        <v>1077</v>
      </c>
      <c r="J151" s="139" t="s">
        <v>17</v>
      </c>
      <c r="K151" s="140" t="s">
        <v>8</v>
      </c>
      <c r="L151" s="168">
        <v>44767</v>
      </c>
      <c r="M151" s="51">
        <f t="shared" si="7"/>
        <v>3</v>
      </c>
    </row>
    <row r="152" spans="1:13" ht="16.5" hidden="1" customHeight="1" x14ac:dyDescent="0.2">
      <c r="B152" s="132" t="s">
        <v>158</v>
      </c>
      <c r="C152" s="132" t="s">
        <v>1182</v>
      </c>
      <c r="D152" s="131"/>
      <c r="E152" s="155" t="s">
        <v>1076</v>
      </c>
      <c r="F152" s="156" t="s">
        <v>1005</v>
      </c>
      <c r="G152" s="143">
        <f>IF(B152="","",2)</f>
        <v>2</v>
      </c>
      <c r="H152" s="131" t="s">
        <v>80</v>
      </c>
      <c r="I152" s="131" t="s">
        <v>1077</v>
      </c>
      <c r="J152" s="139" t="s">
        <v>28</v>
      </c>
      <c r="K152" s="141" t="s">
        <v>358</v>
      </c>
      <c r="L152" s="168">
        <v>44754</v>
      </c>
      <c r="M152" s="147">
        <f t="shared" si="7"/>
        <v>16</v>
      </c>
    </row>
    <row r="153" spans="1:13" ht="16.5" hidden="1" customHeight="1" x14ac:dyDescent="0.2">
      <c r="B153" s="134" t="s">
        <v>1208</v>
      </c>
      <c r="C153" s="134" t="s">
        <v>1145</v>
      </c>
      <c r="D153" s="134"/>
      <c r="E153" s="135" t="s">
        <v>1076</v>
      </c>
      <c r="F153" s="159" t="s">
        <v>884</v>
      </c>
      <c r="G153" s="145">
        <f>IF(B153="","",3)</f>
        <v>3</v>
      </c>
      <c r="H153" s="136" t="s">
        <v>87</v>
      </c>
      <c r="I153" s="136" t="s">
        <v>1077</v>
      </c>
      <c r="J153" s="138" t="s">
        <v>12</v>
      </c>
      <c r="K153" s="141" t="s">
        <v>358</v>
      </c>
      <c r="L153" s="88">
        <v>44756</v>
      </c>
      <c r="M153" s="51">
        <f t="shared" si="7"/>
        <v>14</v>
      </c>
    </row>
    <row r="154" spans="1:13" ht="15" hidden="1" customHeight="1" x14ac:dyDescent="0.2">
      <c r="B154" s="132" t="s">
        <v>1246</v>
      </c>
      <c r="C154" s="132" t="s">
        <v>1244</v>
      </c>
      <c r="D154" s="131"/>
      <c r="E154" s="133" t="s">
        <v>8</v>
      </c>
      <c r="F154" s="156" t="s">
        <v>936</v>
      </c>
      <c r="G154" s="143">
        <f>IF(B154="","",2)</f>
        <v>2</v>
      </c>
      <c r="H154" s="131" t="s">
        <v>17</v>
      </c>
      <c r="I154" s="131" t="s">
        <v>1077</v>
      </c>
      <c r="J154" s="139" t="s">
        <v>17</v>
      </c>
      <c r="K154" s="140" t="s">
        <v>8</v>
      </c>
      <c r="L154" s="88">
        <v>44760</v>
      </c>
      <c r="M154" s="51">
        <f t="shared" si="7"/>
        <v>10</v>
      </c>
    </row>
    <row r="155" spans="1:13" ht="16.5" hidden="1" customHeight="1" x14ac:dyDescent="0.2">
      <c r="B155" s="132" t="s">
        <v>163</v>
      </c>
      <c r="C155" s="132" t="s">
        <v>1365</v>
      </c>
      <c r="D155" s="175"/>
      <c r="E155" s="149" t="s">
        <v>1076</v>
      </c>
      <c r="F155" s="156" t="s">
        <v>1034</v>
      </c>
      <c r="G155" s="143">
        <f>IF(B155="","",1)</f>
        <v>1</v>
      </c>
      <c r="H155" s="131" t="s">
        <v>79</v>
      </c>
      <c r="I155" s="131" t="s">
        <v>1077</v>
      </c>
      <c r="J155" s="139" t="s">
        <v>37</v>
      </c>
      <c r="K155" s="141" t="s">
        <v>358</v>
      </c>
      <c r="L155" s="88">
        <v>44769</v>
      </c>
      <c r="M155" s="147">
        <f t="shared" si="7"/>
        <v>1</v>
      </c>
    </row>
    <row r="156" spans="1:13" ht="16.5" hidden="1" customHeight="1" x14ac:dyDescent="0.2">
      <c r="B156" s="134" t="s">
        <v>239</v>
      </c>
      <c r="C156" s="154" t="s">
        <v>1235</v>
      </c>
      <c r="D156" s="150"/>
      <c r="E156" s="135" t="s">
        <v>1076</v>
      </c>
      <c r="F156" s="159" t="s">
        <v>881</v>
      </c>
      <c r="G156" s="145">
        <f>IF(B156="","",1)</f>
        <v>1</v>
      </c>
      <c r="H156" s="136" t="s">
        <v>81</v>
      </c>
      <c r="I156" s="136" t="s">
        <v>1236</v>
      </c>
      <c r="J156" s="138" t="s">
        <v>41</v>
      </c>
      <c r="K156" s="141" t="s">
        <v>358</v>
      </c>
      <c r="L156" s="168">
        <v>44759</v>
      </c>
      <c r="M156" s="147">
        <f t="shared" si="7"/>
        <v>11</v>
      </c>
    </row>
    <row r="157" spans="1:13" ht="16.5" hidden="1" customHeight="1" x14ac:dyDescent="0.2">
      <c r="B157" s="132" t="s">
        <v>1289</v>
      </c>
      <c r="C157" s="132" t="s">
        <v>1193</v>
      </c>
      <c r="D157" s="131"/>
      <c r="E157" s="149" t="s">
        <v>99</v>
      </c>
      <c r="F157" s="156" t="s">
        <v>1075</v>
      </c>
      <c r="G157" s="143">
        <f>IF(B157="","",3)</f>
        <v>3</v>
      </c>
      <c r="H157" s="131" t="s">
        <v>1069</v>
      </c>
      <c r="I157" s="131" t="s">
        <v>1122</v>
      </c>
      <c r="J157" s="139" t="s">
        <v>1116</v>
      </c>
      <c r="K157" s="142" t="s">
        <v>59</v>
      </c>
      <c r="L157" s="88">
        <v>44753</v>
      </c>
      <c r="M157" s="51">
        <f t="shared" si="7"/>
        <v>17</v>
      </c>
    </row>
    <row r="158" spans="1:13" ht="16.5" hidden="1" customHeight="1" x14ac:dyDescent="0.2">
      <c r="B158" s="132" t="s">
        <v>1230</v>
      </c>
      <c r="C158" s="160" t="s">
        <v>1168</v>
      </c>
      <c r="D158" s="174"/>
      <c r="E158" s="133" t="s">
        <v>52</v>
      </c>
      <c r="F158" s="156" t="s">
        <v>982</v>
      </c>
      <c r="G158" s="143">
        <f>IF(B158="","",1)</f>
        <v>1</v>
      </c>
      <c r="H158" s="131" t="s">
        <v>1069</v>
      </c>
      <c r="I158" s="131" t="s">
        <v>1077</v>
      </c>
      <c r="J158" s="139" t="s">
        <v>21</v>
      </c>
      <c r="K158" s="142" t="s">
        <v>59</v>
      </c>
      <c r="L158" s="168">
        <v>44759</v>
      </c>
      <c r="M158" s="51">
        <f t="shared" si="7"/>
        <v>11</v>
      </c>
    </row>
    <row r="159" spans="1:13" ht="16.5" hidden="1" customHeight="1" x14ac:dyDescent="0.2">
      <c r="B159" s="132" t="s">
        <v>1354</v>
      </c>
      <c r="C159" s="132" t="s">
        <v>1307</v>
      </c>
      <c r="D159" s="131"/>
      <c r="E159" s="133" t="s">
        <v>93</v>
      </c>
      <c r="F159" s="165" t="s">
        <v>1100</v>
      </c>
      <c r="G159" s="164">
        <f>IF(B159="","",3)</f>
        <v>3</v>
      </c>
      <c r="H159" s="131" t="s">
        <v>89</v>
      </c>
      <c r="I159" s="131" t="s">
        <v>1077</v>
      </c>
      <c r="J159" s="139" t="s">
        <v>21</v>
      </c>
      <c r="K159" s="142" t="s">
        <v>59</v>
      </c>
      <c r="L159" s="168">
        <v>44769</v>
      </c>
      <c r="M159" s="51">
        <f t="shared" si="7"/>
        <v>1</v>
      </c>
    </row>
    <row r="160" spans="1:13" ht="16.5" hidden="1" customHeight="1" x14ac:dyDescent="0.2">
      <c r="B160" s="132" t="s">
        <v>233</v>
      </c>
      <c r="C160" s="148" t="s">
        <v>1119</v>
      </c>
      <c r="D160" s="131"/>
      <c r="E160" s="149" t="s">
        <v>1076</v>
      </c>
      <c r="F160" s="156" t="s">
        <v>1018</v>
      </c>
      <c r="G160" s="143">
        <f>IF(B160="","",1)</f>
        <v>1</v>
      </c>
      <c r="H160" s="131" t="s">
        <v>34</v>
      </c>
      <c r="I160" s="131" t="s">
        <v>1077</v>
      </c>
      <c r="J160" s="139" t="s">
        <v>34</v>
      </c>
      <c r="K160" s="141" t="s">
        <v>358</v>
      </c>
      <c r="L160" s="88">
        <v>44768</v>
      </c>
      <c r="M160" s="51">
        <f t="shared" si="7"/>
        <v>2</v>
      </c>
    </row>
    <row r="161" spans="2:13" ht="16.5" hidden="1" customHeight="1" x14ac:dyDescent="0.2">
      <c r="B161" s="132" t="s">
        <v>1275</v>
      </c>
      <c r="C161" s="132" t="s">
        <v>1240</v>
      </c>
      <c r="D161" s="131"/>
      <c r="E161" s="133" t="s">
        <v>93</v>
      </c>
      <c r="F161" s="156" t="s">
        <v>991</v>
      </c>
      <c r="G161" s="143">
        <f>IF(B161="","",1)</f>
        <v>1</v>
      </c>
      <c r="H161" s="131" t="s">
        <v>89</v>
      </c>
      <c r="I161" s="131" t="s">
        <v>1077</v>
      </c>
      <c r="J161" s="139" t="s">
        <v>21</v>
      </c>
      <c r="K161" s="142" t="s">
        <v>59</v>
      </c>
      <c r="L161" s="168">
        <v>44760</v>
      </c>
      <c r="M161" s="147">
        <f t="shared" si="7"/>
        <v>10</v>
      </c>
    </row>
    <row r="162" spans="2:13" ht="16.5" hidden="1" customHeight="1" x14ac:dyDescent="0.2">
      <c r="B162" s="132" t="s">
        <v>1361</v>
      </c>
      <c r="C162" s="148" t="s">
        <v>1171</v>
      </c>
      <c r="D162" s="175"/>
      <c r="E162" s="133" t="s">
        <v>1076</v>
      </c>
      <c r="F162" s="156" t="s">
        <v>1016</v>
      </c>
      <c r="G162" s="143">
        <f>IF(B162="","",1)</f>
        <v>1</v>
      </c>
      <c r="H162" s="131" t="s">
        <v>83</v>
      </c>
      <c r="I162" s="131" t="s">
        <v>1077</v>
      </c>
      <c r="J162" s="139" t="s">
        <v>33</v>
      </c>
      <c r="K162" s="141" t="s">
        <v>358</v>
      </c>
      <c r="L162" s="168">
        <v>44769</v>
      </c>
      <c r="M162" s="51">
        <f t="shared" si="7"/>
        <v>1</v>
      </c>
    </row>
    <row r="163" spans="2:13" ht="16.5" hidden="1" customHeight="1" x14ac:dyDescent="0.2">
      <c r="B163" s="132" t="s">
        <v>1222</v>
      </c>
      <c r="C163" s="132" t="s">
        <v>1127</v>
      </c>
      <c r="D163" s="174"/>
      <c r="E163" s="149" t="s">
        <v>1076</v>
      </c>
      <c r="F163" s="156" t="s">
        <v>1030</v>
      </c>
      <c r="G163" s="143">
        <f>IF(B163="","",2)</f>
        <v>2</v>
      </c>
      <c r="H163" s="131" t="s">
        <v>79</v>
      </c>
      <c r="I163" s="131" t="s">
        <v>1077</v>
      </c>
      <c r="J163" s="139" t="s">
        <v>23</v>
      </c>
      <c r="K163" s="141" t="s">
        <v>358</v>
      </c>
      <c r="L163" s="88">
        <v>44758</v>
      </c>
      <c r="M163" s="51">
        <f t="shared" si="7"/>
        <v>12</v>
      </c>
    </row>
    <row r="164" spans="2:13" ht="16.5" hidden="1" customHeight="1" x14ac:dyDescent="0.2">
      <c r="B164" s="132" t="s">
        <v>1207</v>
      </c>
      <c r="C164" s="160" t="s">
        <v>1098</v>
      </c>
      <c r="D164" s="174"/>
      <c r="E164" s="149" t="s">
        <v>1076</v>
      </c>
      <c r="F164" s="156" t="s">
        <v>1013</v>
      </c>
      <c r="G164" s="143">
        <f>IF(B164="","",3)</f>
        <v>3</v>
      </c>
      <c r="H164" s="131" t="s">
        <v>82</v>
      </c>
      <c r="I164" s="131" t="s">
        <v>1077</v>
      </c>
      <c r="J164" s="139" t="s">
        <v>30</v>
      </c>
      <c r="K164" s="141" t="s">
        <v>358</v>
      </c>
      <c r="L164" s="168">
        <v>44756</v>
      </c>
      <c r="M164" s="51">
        <f t="shared" si="7"/>
        <v>14</v>
      </c>
    </row>
    <row r="165" spans="2:13" ht="16.5" hidden="1" customHeight="1" x14ac:dyDescent="0.2">
      <c r="B165" s="132" t="s">
        <v>1304</v>
      </c>
      <c r="C165" s="132" t="s">
        <v>1311</v>
      </c>
      <c r="D165" s="175"/>
      <c r="E165" s="133" t="s">
        <v>1105</v>
      </c>
      <c r="F165" s="156" t="s">
        <v>958</v>
      </c>
      <c r="G165" s="143">
        <f>IF(B165="","",2)</f>
        <v>2</v>
      </c>
      <c r="H165" s="131" t="s">
        <v>1069</v>
      </c>
      <c r="I165" s="131" t="s">
        <v>1077</v>
      </c>
      <c r="J165" s="139" t="s">
        <v>1065</v>
      </c>
      <c r="K165" s="141" t="s">
        <v>358</v>
      </c>
      <c r="L165" s="168">
        <v>44766</v>
      </c>
      <c r="M165" s="51">
        <f t="shared" ref="M165:M196" si="8">IF(L165="","",$K$3-L165+1)</f>
        <v>4</v>
      </c>
    </row>
    <row r="166" spans="2:13" ht="16.5" hidden="1" customHeight="1" x14ac:dyDescent="0.2">
      <c r="B166" s="132" t="s">
        <v>1334</v>
      </c>
      <c r="C166" s="132" t="s">
        <v>1314</v>
      </c>
      <c r="D166" s="131"/>
      <c r="E166" s="133" t="s">
        <v>1141</v>
      </c>
      <c r="F166" s="156" t="s">
        <v>895</v>
      </c>
      <c r="G166" s="146">
        <f>IF(B166="","",1)</f>
        <v>1</v>
      </c>
      <c r="H166" s="131" t="s">
        <v>1069</v>
      </c>
      <c r="I166" s="131" t="s">
        <v>1077</v>
      </c>
      <c r="J166" s="139" t="s">
        <v>1066</v>
      </c>
      <c r="K166" s="141" t="s">
        <v>358</v>
      </c>
      <c r="L166" s="168">
        <v>44766</v>
      </c>
      <c r="M166" s="51">
        <f t="shared" si="8"/>
        <v>4</v>
      </c>
    </row>
    <row r="167" spans="2:13" ht="16.5" hidden="1" customHeight="1" x14ac:dyDescent="0.2">
      <c r="B167" s="132" t="s">
        <v>1330</v>
      </c>
      <c r="C167" s="148" t="s">
        <v>1178</v>
      </c>
      <c r="D167" s="175"/>
      <c r="E167" s="133" t="s">
        <v>1064</v>
      </c>
      <c r="F167" s="156" t="s">
        <v>944</v>
      </c>
      <c r="G167" s="143">
        <f>IF(B167="","",2)</f>
        <v>2</v>
      </c>
      <c r="H167" s="131" t="s">
        <v>1069</v>
      </c>
      <c r="I167" s="131" t="s">
        <v>1077</v>
      </c>
      <c r="J167" s="139" t="s">
        <v>1065</v>
      </c>
      <c r="K167" s="141" t="s">
        <v>358</v>
      </c>
      <c r="L167" s="168">
        <v>44767</v>
      </c>
      <c r="M167" s="147">
        <f t="shared" si="8"/>
        <v>3</v>
      </c>
    </row>
    <row r="168" spans="2:13" ht="16.5" hidden="1" customHeight="1" x14ac:dyDescent="0.2">
      <c r="B168" s="132" t="s">
        <v>1272</v>
      </c>
      <c r="C168" s="132" t="s">
        <v>1152</v>
      </c>
      <c r="D168" s="131"/>
      <c r="E168" s="149" t="s">
        <v>1076</v>
      </c>
      <c r="F168" s="156" t="s">
        <v>1045</v>
      </c>
      <c r="G168" s="143">
        <f>IF(B168="","",3)</f>
        <v>3</v>
      </c>
      <c r="H168" s="131" t="s">
        <v>82</v>
      </c>
      <c r="I168" s="131" t="s">
        <v>1077</v>
      </c>
      <c r="J168" s="139" t="s">
        <v>24</v>
      </c>
      <c r="K168" s="141" t="s">
        <v>358</v>
      </c>
      <c r="L168" s="168">
        <v>44763</v>
      </c>
      <c r="M168" s="51">
        <f t="shared" si="8"/>
        <v>7</v>
      </c>
    </row>
    <row r="169" spans="2:13" ht="16.5" hidden="1" customHeight="1" x14ac:dyDescent="0.2">
      <c r="B169" s="134" t="s">
        <v>1212</v>
      </c>
      <c r="C169" s="134" t="s">
        <v>1112</v>
      </c>
      <c r="D169" s="179"/>
      <c r="E169" s="135" t="s">
        <v>59</v>
      </c>
      <c r="F169" s="159" t="s">
        <v>892</v>
      </c>
      <c r="G169" s="145">
        <f>IF(B169="","",2)</f>
        <v>2</v>
      </c>
      <c r="H169" s="136" t="s">
        <v>59</v>
      </c>
      <c r="I169" s="136" t="s">
        <v>1090</v>
      </c>
      <c r="J169" s="138" t="s">
        <v>50</v>
      </c>
      <c r="K169" s="142" t="s">
        <v>59</v>
      </c>
      <c r="L169" s="168">
        <v>44756</v>
      </c>
      <c r="M169" s="147">
        <f t="shared" si="8"/>
        <v>14</v>
      </c>
    </row>
    <row r="170" spans="2:13" ht="16.5" hidden="1" customHeight="1" x14ac:dyDescent="0.2">
      <c r="B170" s="132" t="s">
        <v>1248</v>
      </c>
      <c r="C170" s="132" t="s">
        <v>1237</v>
      </c>
      <c r="D170" s="131"/>
      <c r="E170" s="133" t="s">
        <v>1117</v>
      </c>
      <c r="F170" s="156" t="s">
        <v>1101</v>
      </c>
      <c r="G170" s="143">
        <f>IF(B170="","",3)</f>
        <v>3</v>
      </c>
      <c r="H170" s="131" t="s">
        <v>1069</v>
      </c>
      <c r="I170" s="131" t="s">
        <v>1077</v>
      </c>
      <c r="J170" s="139" t="s">
        <v>21</v>
      </c>
      <c r="K170" s="142" t="s">
        <v>59</v>
      </c>
      <c r="L170" s="168">
        <v>44759</v>
      </c>
      <c r="M170" s="147">
        <f t="shared" si="8"/>
        <v>11</v>
      </c>
    </row>
    <row r="171" spans="2:13" ht="16.5" hidden="1" customHeight="1" x14ac:dyDescent="0.2">
      <c r="B171" s="187" t="s">
        <v>221</v>
      </c>
      <c r="C171" s="132" t="s">
        <v>1094</v>
      </c>
      <c r="D171" s="131"/>
      <c r="E171" s="133" t="s">
        <v>1076</v>
      </c>
      <c r="F171" s="156" t="s">
        <v>1032</v>
      </c>
      <c r="G171" s="143">
        <f>IF(B171="","",3)</f>
        <v>3</v>
      </c>
      <c r="H171" s="131" t="s">
        <v>20</v>
      </c>
      <c r="I171" s="131" t="s">
        <v>1077</v>
      </c>
      <c r="J171" s="139" t="s">
        <v>40</v>
      </c>
      <c r="K171" s="141" t="s">
        <v>358</v>
      </c>
      <c r="L171" s="168">
        <v>44761</v>
      </c>
      <c r="M171" s="147">
        <f t="shared" si="8"/>
        <v>9</v>
      </c>
    </row>
    <row r="172" spans="2:13" ht="16.5" hidden="1" customHeight="1" x14ac:dyDescent="0.2">
      <c r="B172" s="132" t="s">
        <v>1368</v>
      </c>
      <c r="C172" s="160" t="s">
        <v>1162</v>
      </c>
      <c r="D172" s="174"/>
      <c r="E172" s="133" t="s">
        <v>93</v>
      </c>
      <c r="F172" s="156" t="s">
        <v>992</v>
      </c>
      <c r="G172" s="143">
        <f>IF(B172="","",1)</f>
        <v>1</v>
      </c>
      <c r="H172" s="131" t="s">
        <v>89</v>
      </c>
      <c r="I172" s="131" t="s">
        <v>1077</v>
      </c>
      <c r="J172" s="139" t="s">
        <v>21</v>
      </c>
      <c r="K172" s="142" t="s">
        <v>59</v>
      </c>
      <c r="L172" s="168">
        <v>44767</v>
      </c>
      <c r="M172" s="51">
        <f t="shared" si="8"/>
        <v>3</v>
      </c>
    </row>
    <row r="173" spans="2:13" ht="16.5" hidden="1" customHeight="1" x14ac:dyDescent="0.2">
      <c r="B173" s="132" t="s">
        <v>1363</v>
      </c>
      <c r="C173" s="132" t="s">
        <v>1119</v>
      </c>
      <c r="D173" s="131"/>
      <c r="E173" s="133" t="s">
        <v>1076</v>
      </c>
      <c r="F173" s="156" t="s">
        <v>1022</v>
      </c>
      <c r="G173" s="143">
        <f>IF(B173="","",3)</f>
        <v>3</v>
      </c>
      <c r="H173" s="131" t="s">
        <v>34</v>
      </c>
      <c r="I173" s="131" t="s">
        <v>1077</v>
      </c>
      <c r="J173" s="139" t="s">
        <v>32</v>
      </c>
      <c r="K173" s="141" t="s">
        <v>358</v>
      </c>
      <c r="L173" s="168">
        <v>44769</v>
      </c>
      <c r="M173" s="147">
        <f t="shared" si="8"/>
        <v>1</v>
      </c>
    </row>
    <row r="174" spans="2:13" ht="16.5" customHeight="1" x14ac:dyDescent="0.2">
      <c r="B174" s="132" t="s">
        <v>217</v>
      </c>
      <c r="C174" s="132" t="s">
        <v>1118</v>
      </c>
      <c r="D174" s="131" t="s">
        <v>1129</v>
      </c>
      <c r="E174" s="149" t="s">
        <v>1076</v>
      </c>
      <c r="F174" s="156" t="s">
        <v>1040</v>
      </c>
      <c r="G174" s="143">
        <f>IF(B174="","",2)</f>
        <v>2</v>
      </c>
      <c r="H174" s="131" t="s">
        <v>79</v>
      </c>
      <c r="I174" s="131" t="s">
        <v>1077</v>
      </c>
      <c r="J174" s="184" t="s">
        <v>69</v>
      </c>
      <c r="K174" s="141" t="s">
        <v>358</v>
      </c>
      <c r="L174" s="168">
        <v>44758</v>
      </c>
      <c r="M174" s="147">
        <f t="shared" si="8"/>
        <v>12</v>
      </c>
    </row>
    <row r="175" spans="2:13" ht="16.5" hidden="1" customHeight="1" x14ac:dyDescent="0.2">
      <c r="B175" s="132"/>
      <c r="C175" s="132"/>
      <c r="D175" s="148"/>
      <c r="E175" s="149"/>
      <c r="F175" s="156" t="s">
        <v>921</v>
      </c>
      <c r="G175" s="143" t="str">
        <f>IF(B175="","",1)</f>
        <v/>
      </c>
      <c r="H175" s="131"/>
      <c r="I175" s="131"/>
      <c r="J175" s="139" t="s">
        <v>1085</v>
      </c>
      <c r="K175" s="141" t="s">
        <v>358</v>
      </c>
      <c r="L175" s="168"/>
      <c r="M175" s="147" t="str">
        <f t="shared" si="8"/>
        <v/>
      </c>
    </row>
    <row r="176" spans="2:13" ht="16.5" hidden="1" customHeight="1" x14ac:dyDescent="0.2">
      <c r="B176" s="132"/>
      <c r="C176" s="132"/>
      <c r="D176" s="131"/>
      <c r="E176" s="133"/>
      <c r="F176" s="156" t="s">
        <v>978</v>
      </c>
      <c r="G176" s="143" t="str">
        <f>IF(B176="","",3)</f>
        <v/>
      </c>
      <c r="H176" s="131"/>
      <c r="I176" s="131"/>
      <c r="J176" s="184" t="s">
        <v>21</v>
      </c>
      <c r="K176" s="142" t="s">
        <v>59</v>
      </c>
      <c r="L176" s="168"/>
      <c r="M176" s="147" t="str">
        <f t="shared" si="8"/>
        <v/>
      </c>
    </row>
    <row r="177" spans="1:13" ht="16.5" hidden="1" customHeight="1" x14ac:dyDescent="0.2">
      <c r="B177" s="132"/>
      <c r="C177" s="132"/>
      <c r="D177" s="160"/>
      <c r="E177" s="149"/>
      <c r="F177" s="156" t="s">
        <v>1012</v>
      </c>
      <c r="G177" s="143" t="str">
        <f>IF(B177="","",1)</f>
        <v/>
      </c>
      <c r="H177" s="131"/>
      <c r="I177" s="131"/>
      <c r="J177" s="139" t="s">
        <v>25</v>
      </c>
      <c r="K177" s="141" t="s">
        <v>358</v>
      </c>
      <c r="L177" s="168"/>
      <c r="M177" s="147" t="str">
        <f t="shared" si="8"/>
        <v/>
      </c>
    </row>
    <row r="178" spans="1:13" ht="16.5" hidden="1" customHeight="1" x14ac:dyDescent="0.2">
      <c r="B178" s="132"/>
      <c r="C178" s="148"/>
      <c r="D178" s="131"/>
      <c r="E178" s="133"/>
      <c r="F178" s="156" t="s">
        <v>938</v>
      </c>
      <c r="G178" s="143" t="str">
        <f>IF(B178="","",2)</f>
        <v/>
      </c>
      <c r="H178" s="131"/>
      <c r="I178" s="131"/>
      <c r="J178" s="139" t="s">
        <v>18</v>
      </c>
      <c r="K178" s="141" t="s">
        <v>358</v>
      </c>
      <c r="L178" s="168"/>
      <c r="M178" s="147" t="str">
        <f t="shared" si="8"/>
        <v/>
      </c>
    </row>
    <row r="179" spans="1:13" ht="16.5" hidden="1" customHeight="1" x14ac:dyDescent="0.2">
      <c r="B179" s="132"/>
      <c r="C179" s="132"/>
      <c r="D179" s="174"/>
      <c r="E179" s="155"/>
      <c r="F179" s="156" t="s">
        <v>959</v>
      </c>
      <c r="G179" s="143" t="str">
        <f>IF(B179="","",3)</f>
        <v/>
      </c>
      <c r="H179" s="131"/>
      <c r="I179" s="131"/>
      <c r="J179" s="139" t="s">
        <v>1065</v>
      </c>
      <c r="K179" s="141" t="s">
        <v>358</v>
      </c>
      <c r="L179" s="88"/>
      <c r="M179" s="51" t="str">
        <f t="shared" si="8"/>
        <v/>
      </c>
    </row>
    <row r="180" spans="1:13" ht="16.5" hidden="1" customHeight="1" x14ac:dyDescent="0.2">
      <c r="B180" s="132"/>
      <c r="C180" s="132"/>
      <c r="D180" s="131"/>
      <c r="E180" s="149"/>
      <c r="F180" s="156" t="s">
        <v>1029</v>
      </c>
      <c r="G180" s="143" t="str">
        <f>IF(B180="","",2)</f>
        <v/>
      </c>
      <c r="H180" s="131"/>
      <c r="I180" s="131"/>
      <c r="J180" s="139" t="s">
        <v>20</v>
      </c>
      <c r="K180" s="141" t="s">
        <v>358</v>
      </c>
      <c r="L180" s="168"/>
      <c r="M180" s="51" t="str">
        <f t="shared" si="8"/>
        <v/>
      </c>
    </row>
    <row r="181" spans="1:13" ht="16.5" hidden="1" customHeight="1" x14ac:dyDescent="0.2">
      <c r="A181" s="1">
        <v>44581</v>
      </c>
      <c r="B181" s="132"/>
      <c r="C181" s="132"/>
      <c r="D181" s="131"/>
      <c r="E181" s="133"/>
      <c r="F181" s="156" t="s">
        <v>894</v>
      </c>
      <c r="G181" s="146" t="str">
        <f>IF(B181="","",3)</f>
        <v/>
      </c>
      <c r="H181" s="131"/>
      <c r="I181" s="131"/>
      <c r="J181" s="153" t="s">
        <v>46</v>
      </c>
      <c r="K181" s="141" t="s">
        <v>358</v>
      </c>
      <c r="L181" s="168"/>
      <c r="M181" s="51" t="str">
        <f t="shared" si="8"/>
        <v/>
      </c>
    </row>
    <row r="182" spans="1:13" ht="16.5" hidden="1" customHeight="1" x14ac:dyDescent="0.2">
      <c r="B182" s="132"/>
      <c r="C182" s="132"/>
      <c r="D182" s="131"/>
      <c r="E182" s="133"/>
      <c r="F182" s="156" t="s">
        <v>900</v>
      </c>
      <c r="G182" s="146" t="str">
        <f>IF(B182="","",3)</f>
        <v/>
      </c>
      <c r="H182" s="131"/>
      <c r="I182" s="162"/>
      <c r="J182" s="139" t="s">
        <v>47</v>
      </c>
      <c r="K182" s="141" t="s">
        <v>358</v>
      </c>
      <c r="L182" s="88"/>
      <c r="M182" s="51" t="str">
        <f t="shared" si="8"/>
        <v/>
      </c>
    </row>
    <row r="183" spans="1:13" ht="16.5" hidden="1" customHeight="1" x14ac:dyDescent="0.2">
      <c r="B183" s="67"/>
      <c r="C183" s="132"/>
      <c r="D183" s="131"/>
      <c r="E183" s="133"/>
      <c r="F183" s="156" t="s">
        <v>902</v>
      </c>
      <c r="G183" s="146" t="str">
        <f>IF(B183="","",3)</f>
        <v/>
      </c>
      <c r="H183" s="131"/>
      <c r="I183" s="162"/>
      <c r="J183" s="139" t="s">
        <v>48</v>
      </c>
      <c r="K183" s="141" t="s">
        <v>358</v>
      </c>
      <c r="L183" s="168"/>
      <c r="M183" s="51" t="str">
        <f t="shared" si="8"/>
        <v/>
      </c>
    </row>
    <row r="184" spans="1:13" ht="16.5" hidden="1" customHeight="1" x14ac:dyDescent="0.2">
      <c r="B184" s="134"/>
      <c r="C184" s="150"/>
      <c r="D184" s="180"/>
      <c r="E184" s="151"/>
      <c r="F184" s="157" t="s">
        <v>904</v>
      </c>
      <c r="G184" s="145" t="str">
        <f t="shared" ref="G184:G189" si="9">IF(B184="","",1)</f>
        <v/>
      </c>
      <c r="H184" s="136"/>
      <c r="I184" s="136"/>
      <c r="J184" s="138" t="s">
        <v>49</v>
      </c>
      <c r="K184" s="142" t="s">
        <v>59</v>
      </c>
      <c r="L184" s="168"/>
      <c r="M184" s="51" t="str">
        <f t="shared" si="8"/>
        <v/>
      </c>
    </row>
    <row r="185" spans="1:13" ht="16.5" hidden="1" customHeight="1" x14ac:dyDescent="0.2">
      <c r="B185" s="67"/>
      <c r="C185" s="67"/>
      <c r="D185" s="162"/>
      <c r="E185" s="68"/>
      <c r="F185" s="65" t="s">
        <v>0</v>
      </c>
      <c r="G185" s="146" t="str">
        <f t="shared" si="9"/>
        <v/>
      </c>
      <c r="H185" s="162"/>
      <c r="I185" s="162"/>
      <c r="J185" s="23"/>
      <c r="K185" s="24" t="s">
        <v>6</v>
      </c>
      <c r="L185" s="89"/>
      <c r="M185" s="51" t="str">
        <f t="shared" si="8"/>
        <v/>
      </c>
    </row>
    <row r="186" spans="1:13" ht="16.5" hidden="1" customHeight="1" x14ac:dyDescent="0.2">
      <c r="B186" s="132"/>
      <c r="C186" s="132"/>
      <c r="D186" s="131"/>
      <c r="E186" s="133"/>
      <c r="F186" s="65" t="s">
        <v>1</v>
      </c>
      <c r="G186" s="146" t="str">
        <f t="shared" si="9"/>
        <v/>
      </c>
      <c r="H186" s="131"/>
      <c r="I186" s="131"/>
      <c r="J186" s="23"/>
      <c r="K186" s="24" t="s">
        <v>6</v>
      </c>
      <c r="L186" s="89"/>
      <c r="M186" s="51" t="str">
        <f t="shared" si="8"/>
        <v/>
      </c>
    </row>
    <row r="187" spans="1:13" ht="16.5" hidden="1" customHeight="1" x14ac:dyDescent="0.2">
      <c r="B187" s="67"/>
      <c r="C187" s="103"/>
      <c r="D187" s="113"/>
      <c r="E187" s="68"/>
      <c r="F187" s="65" t="s">
        <v>2</v>
      </c>
      <c r="G187" s="146" t="str">
        <f t="shared" si="9"/>
        <v/>
      </c>
      <c r="H187" s="6"/>
      <c r="I187" s="6"/>
      <c r="J187" s="23"/>
      <c r="K187" s="24" t="s">
        <v>6</v>
      </c>
      <c r="L187" s="89"/>
      <c r="M187" s="147" t="str">
        <f t="shared" si="8"/>
        <v/>
      </c>
    </row>
    <row r="188" spans="1:13" ht="16.5" hidden="1" customHeight="1" x14ac:dyDescent="0.2">
      <c r="B188" s="105"/>
      <c r="C188" s="4"/>
      <c r="D188" s="6"/>
      <c r="E188" s="5"/>
      <c r="F188" s="65" t="s">
        <v>3</v>
      </c>
      <c r="G188" s="146" t="str">
        <f t="shared" si="9"/>
        <v/>
      </c>
      <c r="H188" s="6"/>
      <c r="I188" s="6"/>
      <c r="J188" s="23"/>
      <c r="K188" s="24" t="s">
        <v>6</v>
      </c>
      <c r="L188" s="89"/>
      <c r="M188" s="51" t="str">
        <f t="shared" si="8"/>
        <v/>
      </c>
    </row>
    <row r="189" spans="1:13" ht="16.5" hidden="1" customHeight="1" x14ac:dyDescent="0.2">
      <c r="B189" s="105"/>
      <c r="C189" s="4"/>
      <c r="D189" s="6"/>
      <c r="E189" s="5"/>
      <c r="F189" s="65" t="s">
        <v>4</v>
      </c>
      <c r="G189" s="146" t="str">
        <f t="shared" si="9"/>
        <v/>
      </c>
      <c r="H189" s="6"/>
      <c r="I189" s="6"/>
      <c r="J189" s="23"/>
      <c r="K189" s="24" t="s">
        <v>6</v>
      </c>
      <c r="L189" s="89"/>
      <c r="M189" s="147" t="str">
        <f t="shared" si="8"/>
        <v/>
      </c>
    </row>
    <row r="190" spans="1:13" ht="16.5" hidden="1" customHeight="1" x14ac:dyDescent="0.2">
      <c r="B190" s="78"/>
      <c r="C190" s="66"/>
      <c r="D190" s="60"/>
      <c r="E190" s="69"/>
      <c r="F190" s="65" t="s">
        <v>1049</v>
      </c>
      <c r="G190" s="70" t="str">
        <f>IF(B190="","",3)</f>
        <v/>
      </c>
      <c r="H190" s="60"/>
      <c r="I190" s="60"/>
      <c r="J190" s="71"/>
      <c r="K190" s="72" t="s">
        <v>56</v>
      </c>
      <c r="L190" s="90"/>
      <c r="M190" s="147" t="str">
        <f t="shared" si="8"/>
        <v/>
      </c>
    </row>
    <row r="191" spans="1:13" ht="16.5" hidden="1" customHeight="1" x14ac:dyDescent="0.2">
      <c r="B191" s="78"/>
      <c r="C191" s="66"/>
      <c r="D191" s="60"/>
      <c r="E191" s="69"/>
      <c r="F191" s="65" t="s">
        <v>1049</v>
      </c>
      <c r="G191" s="70" t="str">
        <f>IF(B191="","",3)</f>
        <v/>
      </c>
      <c r="H191" s="60"/>
      <c r="I191" s="60"/>
      <c r="J191" s="71"/>
      <c r="K191" s="72" t="s">
        <v>56</v>
      </c>
      <c r="L191" s="90"/>
      <c r="M191" s="51" t="str">
        <f t="shared" si="8"/>
        <v/>
      </c>
    </row>
    <row r="192" spans="1:13" ht="16.5" hidden="1" customHeight="1" x14ac:dyDescent="0.2">
      <c r="B192" s="78"/>
      <c r="C192" s="66"/>
      <c r="D192" s="60"/>
      <c r="E192" s="69"/>
      <c r="F192" s="65" t="s">
        <v>1049</v>
      </c>
      <c r="G192" s="70" t="str">
        <f>IF(B192="","",3)</f>
        <v/>
      </c>
      <c r="H192" s="60"/>
      <c r="I192" s="60"/>
      <c r="J192" s="71"/>
      <c r="K192" s="72" t="s">
        <v>56</v>
      </c>
      <c r="L192" s="90"/>
      <c r="M192" s="51" t="str">
        <f t="shared" si="8"/>
        <v/>
      </c>
    </row>
    <row r="193" spans="2:14" ht="16.5" hidden="1" customHeight="1" x14ac:dyDescent="0.2">
      <c r="B193" s="79"/>
      <c r="C193" s="63"/>
      <c r="D193" s="114"/>
      <c r="E193" s="64"/>
      <c r="F193" s="65" t="s">
        <v>1049</v>
      </c>
      <c r="G193" s="146" t="str">
        <f>IF(B193="","",3)</f>
        <v/>
      </c>
      <c r="H193" s="6"/>
      <c r="I193" s="60"/>
      <c r="J193" s="23"/>
      <c r="K193" s="24" t="s">
        <v>56</v>
      </c>
      <c r="L193" s="89"/>
      <c r="M193" s="51" t="str">
        <f t="shared" si="8"/>
        <v/>
      </c>
    </row>
    <row r="194" spans="2:14" ht="16.5" hidden="1" customHeight="1" x14ac:dyDescent="0.2">
      <c r="B194" s="77"/>
      <c r="C194" s="63"/>
      <c r="D194" s="114"/>
      <c r="E194" s="64"/>
      <c r="F194" s="65" t="s">
        <v>1049</v>
      </c>
      <c r="G194" s="146" t="str">
        <f>IF(B194="","",3)</f>
        <v/>
      </c>
      <c r="H194" s="60"/>
      <c r="I194" s="60"/>
      <c r="J194" s="23"/>
      <c r="K194" s="24" t="s">
        <v>56</v>
      </c>
      <c r="L194" s="89"/>
      <c r="M194" s="51" t="str">
        <f t="shared" si="8"/>
        <v/>
      </c>
    </row>
    <row r="195" spans="2:14" ht="16.5" hidden="1" customHeight="1" x14ac:dyDescent="0.2">
      <c r="B195" s="77"/>
      <c r="C195" s="63"/>
      <c r="D195" s="114"/>
      <c r="E195" s="64"/>
      <c r="F195" s="65" t="s">
        <v>1049</v>
      </c>
      <c r="G195" s="146" t="str">
        <f>IF(B195="","",2)</f>
        <v/>
      </c>
      <c r="H195" s="6"/>
      <c r="I195" s="60"/>
      <c r="J195" s="23"/>
      <c r="K195" s="24" t="s">
        <v>56</v>
      </c>
      <c r="L195" s="89"/>
      <c r="M195" s="51" t="str">
        <f t="shared" si="8"/>
        <v/>
      </c>
    </row>
    <row r="196" spans="2:14" ht="16.5" hidden="1" customHeight="1" x14ac:dyDescent="0.2">
      <c r="B196" s="76"/>
      <c r="C196" s="132"/>
      <c r="D196" s="131"/>
      <c r="E196" s="3"/>
      <c r="F196" s="65" t="s">
        <v>1049</v>
      </c>
      <c r="G196" s="146" t="str">
        <f>IF(B196="","",2)</f>
        <v/>
      </c>
      <c r="H196" s="6"/>
      <c r="I196" s="6"/>
      <c r="J196" s="23"/>
      <c r="K196" s="24" t="s">
        <v>56</v>
      </c>
      <c r="L196" s="89"/>
      <c r="M196" s="51" t="str">
        <f t="shared" si="8"/>
        <v/>
      </c>
    </row>
    <row r="197" spans="2:14" ht="16.5" hidden="1" customHeight="1" x14ac:dyDescent="0.2">
      <c r="B197" s="76"/>
      <c r="C197" s="132"/>
      <c r="D197" s="131"/>
      <c r="E197" s="3"/>
      <c r="F197" s="65" t="s">
        <v>1049</v>
      </c>
      <c r="G197" s="146" t="str">
        <f>IF(B197="","",2)</f>
        <v/>
      </c>
      <c r="H197" s="6"/>
      <c r="I197" s="26"/>
      <c r="J197" s="139"/>
      <c r="K197" s="24" t="s">
        <v>56</v>
      </c>
      <c r="L197" s="89"/>
      <c r="M197" s="51" t="str">
        <f t="shared" ref="M197:M228" si="10">IF(L197="","",$K$3-L197+1)</f>
        <v/>
      </c>
    </row>
    <row r="198" spans="2:14" ht="16.5" hidden="1" customHeight="1" x14ac:dyDescent="0.2">
      <c r="B198" s="76"/>
      <c r="C198" s="132"/>
      <c r="D198" s="131"/>
      <c r="E198" s="133"/>
      <c r="F198" s="65" t="s">
        <v>1049</v>
      </c>
      <c r="G198" s="146" t="str">
        <f>IF(B198="","",2)</f>
        <v/>
      </c>
      <c r="H198" s="6"/>
      <c r="I198" s="6"/>
      <c r="J198" s="23"/>
      <c r="K198" s="24" t="s">
        <v>56</v>
      </c>
      <c r="L198" s="89"/>
      <c r="M198" s="51" t="str">
        <f t="shared" si="10"/>
        <v/>
      </c>
    </row>
    <row r="199" spans="2:14" ht="16.5" hidden="1" customHeight="1" x14ac:dyDescent="0.2">
      <c r="B199" s="75"/>
      <c r="C199" s="132"/>
      <c r="E199" s="3"/>
      <c r="F199" s="65" t="s">
        <v>1049</v>
      </c>
      <c r="G199" s="146" t="str">
        <f>IF(B199="","",2)</f>
        <v/>
      </c>
      <c r="H199" s="6"/>
      <c r="I199" s="6"/>
      <c r="J199" s="23"/>
      <c r="K199" s="24" t="s">
        <v>56</v>
      </c>
      <c r="L199" s="89"/>
      <c r="M199" s="147" t="str">
        <f t="shared" si="10"/>
        <v/>
      </c>
    </row>
    <row r="200" spans="2:14" ht="16.5" hidden="1" customHeight="1" x14ac:dyDescent="0.2">
      <c r="B200" s="74"/>
      <c r="C200" s="132"/>
      <c r="D200" s="131"/>
      <c r="E200" s="133"/>
      <c r="F200" s="65" t="s">
        <v>1049</v>
      </c>
      <c r="G200" s="146" t="str">
        <f>IF(B200="","",1)</f>
        <v/>
      </c>
      <c r="H200" s="6"/>
      <c r="I200" s="6"/>
      <c r="J200" s="23"/>
      <c r="K200" s="24" t="s">
        <v>56</v>
      </c>
      <c r="L200" s="89"/>
      <c r="M200" s="51" t="str">
        <f t="shared" si="10"/>
        <v/>
      </c>
    </row>
    <row r="201" spans="2:14" ht="16.5" hidden="1" customHeight="1" x14ac:dyDescent="0.2">
      <c r="B201" s="132"/>
      <c r="D201" s="131"/>
      <c r="E201" s="3"/>
      <c r="F201" s="65" t="s">
        <v>1049</v>
      </c>
      <c r="G201" s="146" t="str">
        <f>IF(B201="","",1)</f>
        <v/>
      </c>
      <c r="H201" s="6"/>
      <c r="I201" s="6"/>
      <c r="J201" s="23"/>
      <c r="K201" s="24" t="s">
        <v>56</v>
      </c>
      <c r="L201" s="89"/>
      <c r="M201" s="51" t="str">
        <f t="shared" si="10"/>
        <v/>
      </c>
    </row>
    <row r="202" spans="2:14" ht="16.5" hidden="1" customHeight="1" x14ac:dyDescent="0.2">
      <c r="B202" s="104"/>
      <c r="C202" s="106"/>
      <c r="D202" s="195"/>
      <c r="E202" s="80"/>
      <c r="F202" s="65" t="s">
        <v>1049</v>
      </c>
      <c r="G202" s="146" t="str">
        <f>IF(B202="","",1)</f>
        <v/>
      </c>
      <c r="H202" s="107"/>
      <c r="I202" s="107"/>
      <c r="J202" s="108"/>
      <c r="K202" s="109" t="s">
        <v>56</v>
      </c>
      <c r="L202" s="110"/>
      <c r="M202" s="58" t="str">
        <f t="shared" si="10"/>
        <v/>
      </c>
    </row>
    <row r="203" spans="2:14" ht="15" thickBot="1" x14ac:dyDescent="0.25"/>
    <row r="204" spans="2:14" ht="49.5" customHeight="1" thickBot="1" x14ac:dyDescent="0.25">
      <c r="B204" s="2"/>
      <c r="C204" s="223" t="s">
        <v>57</v>
      </c>
      <c r="D204" s="224"/>
      <c r="G204" s="211" t="s">
        <v>90</v>
      </c>
      <c r="H204" s="220">
        <f>COUNTIF(POB[BALEEIRA],"1")</f>
        <v>57</v>
      </c>
      <c r="J204" s="218" t="s">
        <v>5</v>
      </c>
      <c r="K204" s="219"/>
      <c r="L204" s="218" t="s">
        <v>59</v>
      </c>
      <c r="M204" s="219"/>
      <c r="N204" s="12"/>
    </row>
    <row r="205" spans="2:14" ht="15" customHeight="1" x14ac:dyDescent="0.2">
      <c r="B205" s="2"/>
      <c r="C205" s="14" t="s">
        <v>79</v>
      </c>
      <c r="D205" s="38">
        <f>COUNTIF(POB[DEPARTAMENTO],"MARINE")</f>
        <v>25</v>
      </c>
      <c r="G205" s="212"/>
      <c r="H205" s="214"/>
      <c r="J205" s="7" t="s">
        <v>1076</v>
      </c>
      <c r="K205" s="42">
        <f>COUNTIF(POB[EMPRESA],J205)</f>
        <v>87</v>
      </c>
      <c r="L205" s="91" t="s">
        <v>59</v>
      </c>
      <c r="M205" s="42">
        <f>COUNTIF(POB[EMPRESA],L205)</f>
        <v>5</v>
      </c>
      <c r="N205" s="13"/>
    </row>
    <row r="206" spans="2:14" ht="15" customHeight="1" x14ac:dyDescent="0.2">
      <c r="B206" s="2"/>
      <c r="C206" s="15" t="s">
        <v>80</v>
      </c>
      <c r="D206" s="39">
        <f>COUNTIF(POB[DEPARTAMENTO],"DRILLING")</f>
        <v>23</v>
      </c>
      <c r="G206" s="212"/>
      <c r="H206" s="214"/>
      <c r="J206" s="8" t="s">
        <v>111</v>
      </c>
      <c r="K206" s="43">
        <f>COUNTIF(POB[EMPRESA],J206)</f>
        <v>0</v>
      </c>
      <c r="L206" s="92" t="s">
        <v>101</v>
      </c>
      <c r="M206" s="43">
        <f>COUNTIF(POB[EMPRESA],L206)</f>
        <v>0</v>
      </c>
      <c r="N206" s="13"/>
    </row>
    <row r="207" spans="2:14" ht="15" customHeight="1" x14ac:dyDescent="0.2">
      <c r="B207" s="2"/>
      <c r="C207" s="15" t="s">
        <v>81</v>
      </c>
      <c r="D207" s="39">
        <f>COUNTIF(POB[DEPARTAMENTO],"MAINTENANCE")</f>
        <v>4</v>
      </c>
      <c r="F207" s="13"/>
      <c r="G207" s="212" t="s">
        <v>91</v>
      </c>
      <c r="H207" s="214">
        <f>COUNTIF(POB[BALEEIRA],"2")</f>
        <v>58</v>
      </c>
      <c r="J207" s="8" t="s">
        <v>830</v>
      </c>
      <c r="K207" s="43">
        <f>COUNTIF(POB[EMPRESA],J207)</f>
        <v>1</v>
      </c>
      <c r="L207" s="93" t="s">
        <v>70</v>
      </c>
      <c r="M207" s="43">
        <f>COUNTIF(POB[EMPRESA],L207)</f>
        <v>0</v>
      </c>
      <c r="N207" s="13"/>
    </row>
    <row r="208" spans="2:14" ht="15" customHeight="1" x14ac:dyDescent="0.2">
      <c r="B208" s="2"/>
      <c r="C208" s="15" t="s">
        <v>82</v>
      </c>
      <c r="D208" s="39">
        <f>COUNTIF(POB[DEPARTAMENTO],"ECR")</f>
        <v>8</v>
      </c>
      <c r="G208" s="212"/>
      <c r="H208" s="214"/>
      <c r="J208" s="8" t="s">
        <v>1141</v>
      </c>
      <c r="K208" s="43">
        <f>COUNTIF(POB[EMPRESA],J208)</f>
        <v>5</v>
      </c>
      <c r="L208" s="92" t="s">
        <v>102</v>
      </c>
      <c r="M208" s="43">
        <f>COUNTIF(POB[EMPRESA],L208)</f>
        <v>0</v>
      </c>
      <c r="N208" s="13"/>
    </row>
    <row r="209" spans="2:18" ht="15" customHeight="1" x14ac:dyDescent="0.2">
      <c r="B209" s="2"/>
      <c r="C209" s="15" t="s">
        <v>83</v>
      </c>
      <c r="D209" s="39">
        <f>COUNTIF(POB[DEPARTAMENTO],"ELECTRICAL")</f>
        <v>4</v>
      </c>
      <c r="G209" s="212"/>
      <c r="H209" s="214"/>
      <c r="J209" s="8" t="s">
        <v>1146</v>
      </c>
      <c r="K209" s="43">
        <f>COUNTIF(POB[EMPRESA],J209)</f>
        <v>1</v>
      </c>
      <c r="L209" s="92" t="s">
        <v>62</v>
      </c>
      <c r="M209" s="43">
        <f>COUNTIF(POB[EMPRESA],L209)</f>
        <v>0</v>
      </c>
      <c r="N209" s="13"/>
    </row>
    <row r="210" spans="2:18" ht="15" customHeight="1" x14ac:dyDescent="0.2">
      <c r="B210" s="2"/>
      <c r="C210" s="15" t="s">
        <v>34</v>
      </c>
      <c r="D210" s="39">
        <f>COUNTIF(POB[DEPARTAMENTO],"ET")</f>
        <v>4</v>
      </c>
      <c r="G210" s="212" t="s">
        <v>92</v>
      </c>
      <c r="H210" s="214">
        <f>COUNTIF(POB[BALEEIRA],"3")</f>
        <v>55</v>
      </c>
      <c r="J210" s="8" t="s">
        <v>1169</v>
      </c>
      <c r="K210" s="43">
        <f>COUNTIF(POB[EMPRESA],J210)</f>
        <v>0</v>
      </c>
      <c r="L210" s="92" t="s">
        <v>103</v>
      </c>
      <c r="M210" s="43">
        <f>COUNTIF(POB[EMPRESA],L210)</f>
        <v>0</v>
      </c>
      <c r="N210" s="13"/>
    </row>
    <row r="211" spans="2:18" ht="15" customHeight="1" x14ac:dyDescent="0.2">
      <c r="C211" s="15" t="s">
        <v>20</v>
      </c>
      <c r="D211" s="39">
        <f>COUNTIF(POB[DEPARTAMENTO],"MECHANIC")</f>
        <v>4</v>
      </c>
      <c r="G211" s="212"/>
      <c r="H211" s="214"/>
      <c r="J211" s="9" t="s">
        <v>1140</v>
      </c>
      <c r="K211" s="43">
        <f>COUNTIF(POB[EMPRESA],J211)</f>
        <v>0</v>
      </c>
      <c r="L211" s="92" t="s">
        <v>94</v>
      </c>
      <c r="M211" s="43">
        <f>COUNTIF(POB[EMPRESA],L211)</f>
        <v>0</v>
      </c>
      <c r="N211" s="13"/>
    </row>
    <row r="212" spans="2:18" ht="15" customHeight="1" thickBot="1" x14ac:dyDescent="0.25">
      <c r="C212" s="15" t="s">
        <v>84</v>
      </c>
      <c r="D212" s="39">
        <f>COUNTIF(POB[DEPARTAMENTO],"SUBSEA")</f>
        <v>5</v>
      </c>
      <c r="G212" s="213"/>
      <c r="H212" s="215"/>
      <c r="J212" s="8" t="s">
        <v>1092</v>
      </c>
      <c r="K212" s="43">
        <f>COUNTIF(POB[EMPRESA],J212)</f>
        <v>0</v>
      </c>
      <c r="L212" s="93" t="s">
        <v>1164</v>
      </c>
      <c r="M212" s="43">
        <f>COUNTIF(POB[EMPRESA],L212)</f>
        <v>0</v>
      </c>
      <c r="N212" s="13"/>
    </row>
    <row r="213" spans="2:18" ht="15" customHeight="1" thickBot="1" x14ac:dyDescent="0.25">
      <c r="C213" s="15" t="s">
        <v>85</v>
      </c>
      <c r="D213" s="39">
        <f>COUNTIF(POB[DEPARTAMENTO],"WAREHOUSE")</f>
        <v>2</v>
      </c>
      <c r="G213" s="16"/>
      <c r="H213" s="45"/>
      <c r="J213" s="8" t="s">
        <v>1155</v>
      </c>
      <c r="K213" s="43">
        <f>COUNTIF(POB[EMPRESA],J213)</f>
        <v>0</v>
      </c>
      <c r="L213" s="92" t="s">
        <v>104</v>
      </c>
      <c r="M213" s="43">
        <f>COUNTIF(POB[EMPRESA],L213)</f>
        <v>0</v>
      </c>
      <c r="N213" s="13"/>
    </row>
    <row r="214" spans="2:18" ht="15" customHeight="1" x14ac:dyDescent="0.2">
      <c r="C214" s="15" t="s">
        <v>86</v>
      </c>
      <c r="D214" s="39">
        <f>COUNTIF(POB[DEPARTAMENTO],"MEDIC")</f>
        <v>1</v>
      </c>
      <c r="G214" s="211" t="s">
        <v>7</v>
      </c>
      <c r="H214" s="200">
        <f>SUM(H204:H212)</f>
        <v>170</v>
      </c>
      <c r="J214" s="9" t="s">
        <v>1194</v>
      </c>
      <c r="K214" s="43">
        <f>COUNTIF(POB[EMPRESA],J214)</f>
        <v>0</v>
      </c>
      <c r="L214" s="92" t="s">
        <v>53</v>
      </c>
      <c r="M214" s="43">
        <f>COUNTIF(POB[EMPRESA],L214)</f>
        <v>3</v>
      </c>
      <c r="N214" s="13"/>
    </row>
    <row r="215" spans="2:18" ht="15" customHeight="1" x14ac:dyDescent="0.2">
      <c r="C215" s="15" t="s">
        <v>87</v>
      </c>
      <c r="D215" s="39">
        <f>COUNTIF(POB[DEPARTAMENTO],"SAFETY")</f>
        <v>5</v>
      </c>
      <c r="G215" s="212"/>
      <c r="H215" s="201"/>
      <c r="J215" s="8" t="s">
        <v>1109</v>
      </c>
      <c r="K215" s="43">
        <f>COUNTIF(POB[EMPRESA],J215)</f>
        <v>0</v>
      </c>
      <c r="L215" s="92" t="s">
        <v>60</v>
      </c>
      <c r="M215" s="43">
        <f>COUNTIF(POB[EMPRESA],L215)</f>
        <v>0</v>
      </c>
      <c r="N215" s="13"/>
    </row>
    <row r="216" spans="2:18" ht="15" customHeight="1" thickBot="1" x14ac:dyDescent="0.25">
      <c r="C216" s="15" t="s">
        <v>88</v>
      </c>
      <c r="D216" s="39">
        <f>COUNTIF(POB[DEPARTAMENTO],"FIELD SUPPORT")</f>
        <v>0</v>
      </c>
      <c r="G216" s="213"/>
      <c r="H216" s="202"/>
      <c r="J216" s="8" t="s">
        <v>1186</v>
      </c>
      <c r="K216" s="43">
        <f>COUNTIF(POB[EMPRESA],J216)</f>
        <v>0</v>
      </c>
      <c r="L216" s="92" t="s">
        <v>105</v>
      </c>
      <c r="M216" s="43">
        <f>COUNTIF(POB[EMPRESA],L216)</f>
        <v>0</v>
      </c>
      <c r="N216" s="13"/>
    </row>
    <row r="217" spans="2:18" ht="15" customHeight="1" x14ac:dyDescent="0.2">
      <c r="C217" s="15" t="s">
        <v>114</v>
      </c>
      <c r="D217" s="39">
        <f>COUNTIF(POB[DEPARTAMENTO],"OFFICE")</f>
        <v>2</v>
      </c>
      <c r="J217" s="8" t="s">
        <v>1104</v>
      </c>
      <c r="K217" s="43">
        <f>COUNTIF(POB[EMPRESA],J217)</f>
        <v>0</v>
      </c>
      <c r="L217" s="92" t="s">
        <v>65</v>
      </c>
      <c r="M217" s="43">
        <f>COUNTIF(POB[EMPRESA],L217)</f>
        <v>0</v>
      </c>
      <c r="N217" s="13"/>
    </row>
    <row r="218" spans="2:18" ht="15" customHeight="1" thickBot="1" x14ac:dyDescent="0.25">
      <c r="C218" s="15" t="s">
        <v>1069</v>
      </c>
      <c r="D218" s="39">
        <f>COUNTIF(POB[DEPARTAMENTO],"THIRD PART - OCYAN")</f>
        <v>44</v>
      </c>
      <c r="J218" s="8" t="s">
        <v>1105</v>
      </c>
      <c r="K218" s="43">
        <f>COUNTIF(POB[EMPRESA],J218)</f>
        <v>9</v>
      </c>
      <c r="L218" s="93" t="s">
        <v>93</v>
      </c>
      <c r="M218" s="43">
        <f>COUNTIF(POB[EMPRESA],L218)</f>
        <v>12</v>
      </c>
      <c r="N218" s="13"/>
    </row>
    <row r="219" spans="2:18" ht="15" customHeight="1" x14ac:dyDescent="0.2">
      <c r="C219" s="15" t="s">
        <v>89</v>
      </c>
      <c r="D219" s="39">
        <f>COUNTIF(POB[DEPARTAMENTO],"THIRD PART - PETROBRAS")</f>
        <v>18</v>
      </c>
      <c r="G219" s="203" t="s">
        <v>6</v>
      </c>
      <c r="H219" s="204"/>
      <c r="J219" s="8" t="s">
        <v>112</v>
      </c>
      <c r="K219" s="43">
        <f>COUNTIF(POB[EMPRESA],J219)</f>
        <v>2</v>
      </c>
      <c r="L219" s="93" t="s">
        <v>1121</v>
      </c>
      <c r="M219" s="43">
        <f>COUNTIF(POB[EMPRESA],L219)</f>
        <v>1</v>
      </c>
      <c r="N219" s="13"/>
    </row>
    <row r="220" spans="2:18" ht="15" customHeight="1" x14ac:dyDescent="0.2">
      <c r="C220" s="15" t="s">
        <v>59</v>
      </c>
      <c r="D220" s="40">
        <f>COUNTIF(POB[DEPARTAMENTO],"PETROBRAS")</f>
        <v>5</v>
      </c>
      <c r="G220" s="205"/>
      <c r="H220" s="206"/>
      <c r="J220" s="8" t="s">
        <v>95</v>
      </c>
      <c r="K220" s="43">
        <f>COUNTIF(POB[EMPRESA],J220)</f>
        <v>0</v>
      </c>
      <c r="L220" s="92" t="s">
        <v>1111</v>
      </c>
      <c r="M220" s="43">
        <f>COUNTIF(POB[EMPRESA],L220)</f>
        <v>0</v>
      </c>
      <c r="N220" s="13"/>
    </row>
    <row r="221" spans="2:18" ht="15" customHeight="1" thickBot="1" x14ac:dyDescent="0.25">
      <c r="C221" s="18" t="s">
        <v>17</v>
      </c>
      <c r="D221" s="41">
        <f>COUNTIF(POB[DEPARTAMENTO],"CATERING")</f>
        <v>16</v>
      </c>
      <c r="G221" s="207"/>
      <c r="H221" s="208"/>
      <c r="J221" s="8" t="s">
        <v>8</v>
      </c>
      <c r="K221" s="43">
        <f>COUNTIF(POB[EMPRESA],J221)</f>
        <v>16</v>
      </c>
      <c r="L221" s="92" t="s">
        <v>1080</v>
      </c>
      <c r="M221" s="43">
        <f>COUNTIF(POB[EMPRESA],L221)</f>
        <v>0</v>
      </c>
      <c r="N221" s="13"/>
    </row>
    <row r="222" spans="2:18" ht="15" customHeight="1" x14ac:dyDescent="0.2">
      <c r="C222" s="19"/>
      <c r="D222" s="115"/>
      <c r="E222" s="59">
        <f>SUM(D205:D221)</f>
        <v>170</v>
      </c>
      <c r="G222" s="209">
        <f>COUNTIF(G185:G189,"")</f>
        <v>5</v>
      </c>
      <c r="H222" s="210"/>
      <c r="J222" s="8" t="s">
        <v>1114</v>
      </c>
      <c r="K222" s="43">
        <f>COUNTIF(POB[EMPRESA],J222)</f>
        <v>0</v>
      </c>
      <c r="L222" s="92" t="s">
        <v>96</v>
      </c>
      <c r="M222" s="43">
        <f>COUNTIF(POB[EMPRESA],L222)</f>
        <v>0</v>
      </c>
      <c r="N222" s="13"/>
      <c r="O222" s="13"/>
      <c r="P222" s="17"/>
      <c r="Q222" s="13"/>
      <c r="R222" s="13"/>
    </row>
    <row r="223" spans="2:18" ht="15" customHeight="1" x14ac:dyDescent="0.2">
      <c r="C223" s="19"/>
      <c r="D223" s="115"/>
      <c r="E223" s="19"/>
      <c r="G223" s="196"/>
      <c r="H223" s="197"/>
      <c r="J223" s="8" t="s">
        <v>63</v>
      </c>
      <c r="K223" s="43">
        <f>COUNTIF(POB[EMPRESA],J223)</f>
        <v>0</v>
      </c>
      <c r="L223" s="92" t="s">
        <v>1063</v>
      </c>
      <c r="M223" s="43">
        <f>COUNTIF(POB[EMPRESA],L223)</f>
        <v>0</v>
      </c>
      <c r="N223" s="13"/>
      <c r="O223" s="13"/>
      <c r="P223" s="17"/>
      <c r="Q223" s="13"/>
      <c r="R223" s="13"/>
    </row>
    <row r="224" spans="2:18" ht="15" customHeight="1" thickBot="1" x14ac:dyDescent="0.25">
      <c r="C224" s="20"/>
      <c r="D224" s="116"/>
      <c r="E224" s="20"/>
      <c r="G224" s="198"/>
      <c r="H224" s="199"/>
      <c r="J224" s="8" t="s">
        <v>1196</v>
      </c>
      <c r="K224" s="43">
        <f>COUNTIF(POB[EMPRESA],J224)</f>
        <v>0</v>
      </c>
      <c r="L224" s="94" t="s">
        <v>97</v>
      </c>
      <c r="M224" s="43">
        <f>COUNTIF(POB[EMPRESA],L224)</f>
        <v>0</v>
      </c>
      <c r="N224" s="13"/>
      <c r="O224" s="13"/>
      <c r="P224" s="17"/>
      <c r="Q224" s="13"/>
      <c r="R224" s="13"/>
    </row>
    <row r="225" spans="1:18" ht="15" customHeight="1" thickBot="1" x14ac:dyDescent="0.25">
      <c r="C225" s="20"/>
      <c r="D225" s="116"/>
      <c r="E225" s="20"/>
      <c r="J225" s="8" t="s">
        <v>1064</v>
      </c>
      <c r="K225" s="43">
        <f>COUNTIF(POB[EMPRESA],J225)</f>
        <v>11</v>
      </c>
      <c r="L225" s="93" t="s">
        <v>1095</v>
      </c>
      <c r="M225" s="43">
        <f>COUNTIF(POB[EMPRESA],L225)</f>
        <v>1</v>
      </c>
      <c r="N225" s="13"/>
      <c r="O225" s="13"/>
      <c r="P225" s="17"/>
      <c r="Q225" s="13"/>
      <c r="R225" s="13"/>
    </row>
    <row r="226" spans="1:18" ht="15" customHeight="1" thickBot="1" x14ac:dyDescent="0.25">
      <c r="C226" s="46" t="s">
        <v>1068</v>
      </c>
      <c r="D226" s="47">
        <f>COUNTIF(POB[DIAS EMBARCADO],"1")</f>
        <v>18</v>
      </c>
      <c r="G226" s="203" t="s">
        <v>55</v>
      </c>
      <c r="H226" s="204"/>
      <c r="J226" s="8" t="s">
        <v>68</v>
      </c>
      <c r="K226" s="43">
        <f>COUNTIF(POB[EMPRESA],J226)</f>
        <v>0</v>
      </c>
      <c r="L226" s="92" t="s">
        <v>1103</v>
      </c>
      <c r="M226" s="43">
        <f>COUNTIF(POB[EMPRESA],L226)</f>
        <v>0</v>
      </c>
      <c r="N226" s="13"/>
      <c r="O226" s="13"/>
      <c r="P226" s="17"/>
      <c r="Q226" s="13"/>
      <c r="R226" s="13"/>
    </row>
    <row r="227" spans="1:18" ht="15" customHeight="1" x14ac:dyDescent="0.2">
      <c r="C227" s="13"/>
      <c r="D227" s="117"/>
      <c r="E227" s="13"/>
      <c r="G227" s="205"/>
      <c r="H227" s="206"/>
      <c r="J227" s="8" t="s">
        <v>99</v>
      </c>
      <c r="K227" s="43">
        <f>COUNTIF(POB[EMPRESA],J227)</f>
        <v>5</v>
      </c>
      <c r="L227" s="92" t="s">
        <v>98</v>
      </c>
      <c r="M227" s="43">
        <f>COUNTIF(POB[EMPRESA],L227)</f>
        <v>0</v>
      </c>
      <c r="N227" s="13"/>
      <c r="O227" s="13"/>
      <c r="P227" s="17"/>
      <c r="Q227" s="13"/>
      <c r="R227" s="13"/>
    </row>
    <row r="228" spans="1:18" ht="15" customHeight="1" x14ac:dyDescent="0.2">
      <c r="C228" s="13"/>
      <c r="D228" s="117"/>
      <c r="E228" s="13"/>
      <c r="G228" s="205"/>
      <c r="H228" s="206"/>
      <c r="J228" s="8" t="s">
        <v>1108</v>
      </c>
      <c r="K228" s="43">
        <f>COUNTIF(POB[EMPRESA],J228)</f>
        <v>2</v>
      </c>
      <c r="L228" s="93" t="s">
        <v>1086</v>
      </c>
      <c r="M228" s="43">
        <f>COUNTIF(POB[EMPRESA],L228)</f>
        <v>0</v>
      </c>
      <c r="N228" s="13"/>
      <c r="O228" s="13"/>
      <c r="P228" s="17"/>
      <c r="Q228" s="13"/>
      <c r="R228" s="13"/>
    </row>
    <row r="229" spans="1:18" ht="15" customHeight="1" x14ac:dyDescent="0.2">
      <c r="C229" s="13"/>
      <c r="D229" s="117"/>
      <c r="E229" s="13"/>
      <c r="G229" s="196">
        <f>COUNTIF(G5:G184,"")</f>
        <v>10</v>
      </c>
      <c r="H229" s="197"/>
      <c r="J229" s="8" t="s">
        <v>1082</v>
      </c>
      <c r="K229" s="43">
        <f>COUNTIF(POB[EMPRESA],J229)</f>
        <v>1</v>
      </c>
      <c r="L229" s="92" t="s">
        <v>1147</v>
      </c>
      <c r="M229" s="43">
        <f>COUNTIF(POB[EMPRESA],L229)</f>
        <v>0</v>
      </c>
      <c r="N229" s="13"/>
      <c r="O229" s="13"/>
      <c r="P229" s="17"/>
      <c r="Q229" s="13"/>
      <c r="R229" s="13"/>
    </row>
    <row r="230" spans="1:18" ht="15" customHeight="1" x14ac:dyDescent="0.2">
      <c r="E230" s="13"/>
      <c r="G230" s="196"/>
      <c r="H230" s="197"/>
      <c r="J230" s="8" t="s">
        <v>108</v>
      </c>
      <c r="K230" s="43">
        <f>COUNTIF(POB[EMPRESA],J230)</f>
        <v>0</v>
      </c>
      <c r="L230" s="92" t="s">
        <v>1087</v>
      </c>
      <c r="M230" s="43">
        <f>COUNTIF(POB[EMPRESA],L230)</f>
        <v>0</v>
      </c>
      <c r="N230" s="13"/>
      <c r="O230" s="13"/>
      <c r="P230" s="17"/>
      <c r="Q230" s="13"/>
      <c r="R230" s="13"/>
    </row>
    <row r="231" spans="1:18" ht="15" customHeight="1" thickBot="1" x14ac:dyDescent="0.25">
      <c r="E231" s="13"/>
      <c r="F231" s="13"/>
      <c r="G231" s="198"/>
      <c r="H231" s="199"/>
      <c r="J231" s="8" t="s">
        <v>1117</v>
      </c>
      <c r="K231" s="43">
        <f>COUNTIF(POB[EMPRESA],J231)</f>
        <v>5</v>
      </c>
      <c r="L231" s="93" t="s">
        <v>64</v>
      </c>
      <c r="M231" s="43">
        <f>COUNTIF(POB[EMPRESA],L231)</f>
        <v>0</v>
      </c>
      <c r="N231" s="13"/>
      <c r="O231" s="13"/>
      <c r="P231" s="17"/>
      <c r="Q231" s="13"/>
      <c r="R231" s="13"/>
    </row>
    <row r="232" spans="1:18" ht="15" customHeight="1" x14ac:dyDescent="0.2">
      <c r="B232" s="13"/>
      <c r="E232" s="13"/>
      <c r="F232" s="13"/>
      <c r="J232" s="8" t="s">
        <v>1070</v>
      </c>
      <c r="K232" s="43">
        <f>COUNTIF(POB[EMPRESA],J232)</f>
        <v>0</v>
      </c>
      <c r="L232" s="92" t="s">
        <v>1102</v>
      </c>
      <c r="M232" s="43">
        <f>COUNTIF(POB[EMPRESA],L232)</f>
        <v>0</v>
      </c>
      <c r="N232" s="13"/>
      <c r="O232" s="13"/>
      <c r="P232" s="17"/>
      <c r="Q232" s="13"/>
      <c r="R232" s="13"/>
    </row>
    <row r="233" spans="1:18" ht="15" customHeight="1" x14ac:dyDescent="0.2">
      <c r="B233" s="13"/>
      <c r="E233" s="13"/>
      <c r="F233" s="13"/>
      <c r="J233" s="8" t="s">
        <v>1148</v>
      </c>
      <c r="K233" s="43">
        <f>COUNTIF(POB[EMPRESA],J233)</f>
        <v>0</v>
      </c>
      <c r="L233" s="92" t="s">
        <v>1071</v>
      </c>
      <c r="M233" s="43">
        <f>COUNTIF(POB[EMPRESA],L233)</f>
        <v>0</v>
      </c>
      <c r="N233" s="13"/>
      <c r="O233" s="13"/>
      <c r="P233" s="17"/>
      <c r="Q233" s="13"/>
      <c r="R233" s="13"/>
    </row>
    <row r="234" spans="1:18" ht="15" customHeight="1" x14ac:dyDescent="0.2">
      <c r="B234" s="13"/>
      <c r="F234" s="13"/>
      <c r="J234" s="8" t="s">
        <v>1074</v>
      </c>
      <c r="K234" s="43">
        <f>COUNTIF(POB[EMPRESA],J234)</f>
        <v>0</v>
      </c>
      <c r="L234" s="93" t="s">
        <v>61</v>
      </c>
      <c r="M234" s="43">
        <f>COUNTIF(POB[EMPRESA],L234)</f>
        <v>1</v>
      </c>
      <c r="N234" s="13"/>
      <c r="O234" s="13"/>
      <c r="P234" s="17"/>
      <c r="Q234" s="13"/>
      <c r="R234" s="13"/>
    </row>
    <row r="235" spans="1:18" ht="15" customHeight="1" x14ac:dyDescent="0.2">
      <c r="F235" s="13"/>
      <c r="J235" s="8" t="s">
        <v>1163</v>
      </c>
      <c r="K235" s="43">
        <f>COUNTIF(POB[EMPRESA],J235)</f>
        <v>0</v>
      </c>
      <c r="L235" s="93" t="s">
        <v>100</v>
      </c>
      <c r="M235" s="43">
        <f>COUNTIF(POB[EMPRESA],L235)</f>
        <v>0</v>
      </c>
      <c r="N235" s="13"/>
      <c r="O235" s="13"/>
      <c r="P235" s="17"/>
      <c r="Q235" s="13"/>
      <c r="R235" s="13"/>
    </row>
    <row r="236" spans="1:18" ht="15" customHeight="1" x14ac:dyDescent="0.2">
      <c r="F236" s="13"/>
      <c r="J236" s="8" t="s">
        <v>52</v>
      </c>
      <c r="K236" s="43">
        <f>COUNTIF(POB[EMPRESA],J236)</f>
        <v>2</v>
      </c>
      <c r="L236" s="92" t="s">
        <v>1110</v>
      </c>
      <c r="M236" s="43">
        <f>COUNTIF(POB[EMPRESA],L236)</f>
        <v>0</v>
      </c>
      <c r="N236" s="13"/>
      <c r="O236" s="13"/>
      <c r="P236" s="17"/>
      <c r="Q236" s="13"/>
      <c r="R236" s="13"/>
    </row>
    <row r="237" spans="1:18" ht="15" customHeight="1" thickBot="1" x14ac:dyDescent="0.25">
      <c r="F237" s="13"/>
      <c r="J237" s="10" t="s">
        <v>1113</v>
      </c>
      <c r="K237" s="43">
        <f>COUNTIF(POB[EMPRESA],J237)</f>
        <v>0</v>
      </c>
      <c r="L237" s="95" t="s">
        <v>1063</v>
      </c>
      <c r="M237" s="44">
        <f>COUNTIF(POB[EMPRESA],L237)</f>
        <v>0</v>
      </c>
      <c r="N237" s="13"/>
      <c r="O237" s="13"/>
      <c r="P237" s="17"/>
      <c r="Q237" s="13"/>
      <c r="R237" s="13"/>
    </row>
    <row r="238" spans="1:18" ht="22" thickBot="1" x14ac:dyDescent="0.25">
      <c r="J238" s="21" t="s">
        <v>7</v>
      </c>
      <c r="K238" s="62">
        <f>SUM(K205:K237)</f>
        <v>147</v>
      </c>
      <c r="L238" s="96" t="s">
        <v>7</v>
      </c>
      <c r="M238" s="62">
        <f>SUM(M205:M237)</f>
        <v>23</v>
      </c>
      <c r="N238" s="22"/>
      <c r="O238" s="22"/>
      <c r="P238" s="17"/>
      <c r="Q238" s="22"/>
      <c r="R238" s="22"/>
    </row>
    <row r="239" spans="1:18" x14ac:dyDescent="0.2">
      <c r="A239" s="1">
        <v>112</v>
      </c>
    </row>
    <row r="4058" spans="3:3" x14ac:dyDescent="0.2">
      <c r="C4058" s="2" t="s">
        <v>1097</v>
      </c>
    </row>
  </sheetData>
  <sheetProtection sort="0" autoFilter="0"/>
  <sortState xmlns:xlrd2="http://schemas.microsoft.com/office/spreadsheetml/2017/richdata2" ref="J206:K237">
    <sortCondition ref="J205"/>
  </sortState>
  <mergeCells count="17">
    <mergeCell ref="H210:H212"/>
    <mergeCell ref="G204:G206"/>
    <mergeCell ref="B2:M2"/>
    <mergeCell ref="G226:H228"/>
    <mergeCell ref="J204:K204"/>
    <mergeCell ref="L204:M204"/>
    <mergeCell ref="G210:G212"/>
    <mergeCell ref="G207:G209"/>
    <mergeCell ref="H204:H206"/>
    <mergeCell ref="H207:H209"/>
    <mergeCell ref="B3:I3"/>
    <mergeCell ref="C204:D204"/>
    <mergeCell ref="G229:H231"/>
    <mergeCell ref="H214:H216"/>
    <mergeCell ref="G219:H221"/>
    <mergeCell ref="G222:H224"/>
    <mergeCell ref="G214:G216"/>
  </mergeCells>
  <conditionalFormatting sqref="P72:P78 P5:P70">
    <cfRule type="cellIs" dxfId="41" priority="24" operator="equal">
      <formula>0</formula>
    </cfRule>
  </conditionalFormatting>
  <conditionalFormatting sqref="M127:M202 M5:M125">
    <cfRule type="cellIs" dxfId="40" priority="10" operator="greaterThanOrEqual">
      <formula>14</formula>
    </cfRule>
    <cfRule type="cellIs" dxfId="39" priority="13" operator="between">
      <formula>0</formula>
      <formula>11</formula>
    </cfRule>
    <cfRule type="cellIs" dxfId="38" priority="16" operator="between">
      <formula>12</formula>
      <formula>13</formula>
    </cfRule>
  </conditionalFormatting>
  <conditionalFormatting sqref="N3">
    <cfRule type="cellIs" dxfId="37" priority="4" operator="equal">
      <formula>"POB CORRETO"</formula>
    </cfRule>
    <cfRule type="cellIs" dxfId="36" priority="5" operator="equal">
      <formula>"CHECAR POB"</formula>
    </cfRule>
  </conditionalFormatting>
  <conditionalFormatting sqref="M126">
    <cfRule type="cellIs" dxfId="35" priority="1" operator="greaterThanOrEqual">
      <formula>14</formula>
    </cfRule>
    <cfRule type="cellIs" dxfId="34" priority="2" operator="between">
      <formula>0</formula>
      <formula>11</formula>
    </cfRule>
    <cfRule type="cellIs" dxfId="33" priority="3" operator="between">
      <formula>12</formula>
      <formula>13</formula>
    </cfRule>
  </conditionalFormatting>
  <dataValidations count="3">
    <dataValidation allowBlank="1" showInputMessage="1" showErrorMessage="1" sqref="B17 B118 B80:B82 B176 B142 B158" xr:uid="{00000000-0002-0000-0000-000000000000}"/>
    <dataValidation type="list" allowBlank="1" showInputMessage="1" showErrorMessage="1" sqref="H5:H202" xr:uid="{00000000-0002-0000-0000-000001000000}">
      <formula1>$C$205:$C$221</formula1>
    </dataValidation>
    <dataValidation type="list" allowBlank="1" showInputMessage="1" showErrorMessage="1" sqref="E5:E202" xr:uid="{00000000-0002-0000-0000-000002000000}">
      <formula1>$P$5:$P$69</formula1>
    </dataValidation>
  </dataValidations>
  <pageMargins left="0.19685039370078741" right="0.19685039370078741" top="0.19685039370078741" bottom="0.19685039370078741" header="0" footer="0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4" r:id="rId4" name="Button 140">
              <controlPr defaultSize="0" print="0" autoFill="0" autoPict="0" macro="[0]!FILTRO">
                <anchor moveWithCells="1" sizeWithCells="1">
                  <from>
                    <xdr:col>1</xdr:col>
                    <xdr:colOff>2070100</xdr:colOff>
                    <xdr:row>1</xdr:row>
                    <xdr:rowOff>25400</xdr:rowOff>
                  </from>
                  <to>
                    <xdr:col>2</xdr:col>
                    <xdr:colOff>355600</xdr:colOff>
                    <xdr:row>1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5" name="Button 141">
              <controlPr defaultSize="0" print="0" autoFill="0" autoPict="0" macro="[0]!EMPRESAS">
                <anchor moveWithCells="1" sizeWithCells="1">
                  <from>
                    <xdr:col>1</xdr:col>
                    <xdr:colOff>2057400</xdr:colOff>
                    <xdr:row>2</xdr:row>
                    <xdr:rowOff>25400</xdr:rowOff>
                  </from>
                  <to>
                    <xdr:col>2</xdr:col>
                    <xdr:colOff>355600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6" name="Button 171">
              <controlPr defaultSize="0" print="0" autoFill="0" autoPict="0" macro="[0]!LIMPA_EMBARQUE">
                <anchor moveWithCells="1" sizeWithCells="1">
                  <from>
                    <xdr:col>2</xdr:col>
                    <xdr:colOff>406400</xdr:colOff>
                    <xdr:row>1</xdr:row>
                    <xdr:rowOff>50800</xdr:rowOff>
                  </from>
                  <to>
                    <xdr:col>2</xdr:col>
                    <xdr:colOff>2006600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E58"/>
  <sheetViews>
    <sheetView zoomScale="110" zoomScaleNormal="110" workbookViewId="0">
      <selection activeCell="A20" sqref="A20"/>
    </sheetView>
  </sheetViews>
  <sheetFormatPr baseColWidth="10" defaultColWidth="8.83203125" defaultRowHeight="15" x14ac:dyDescent="0.2"/>
  <cols>
    <col min="1" max="1" width="48" style="36" bestFit="1" customWidth="1"/>
    <col min="2" max="2" width="38.83203125" style="36" bestFit="1" customWidth="1"/>
    <col min="3" max="3" width="26.1640625" style="36" bestFit="1" customWidth="1"/>
    <col min="4" max="4" width="13.6640625" style="36" customWidth="1"/>
  </cols>
  <sheetData>
    <row r="1" spans="1:5" ht="47" x14ac:dyDescent="0.2">
      <c r="A1" s="225" t="s">
        <v>1128</v>
      </c>
      <c r="B1" s="225"/>
      <c r="C1" s="225"/>
      <c r="D1" s="225"/>
    </row>
    <row r="2" spans="1:5" x14ac:dyDescent="0.2">
      <c r="A2" s="50" t="s">
        <v>1059</v>
      </c>
      <c r="B2" s="50" t="s">
        <v>1060</v>
      </c>
      <c r="C2" s="50" t="s">
        <v>1061</v>
      </c>
      <c r="D2" s="50" t="s">
        <v>1062</v>
      </c>
    </row>
    <row r="3" spans="1:5" ht="16.5" customHeight="1" x14ac:dyDescent="0.2">
      <c r="A3" s="101" t="s">
        <v>1197</v>
      </c>
      <c r="B3" s="100" t="s">
        <v>1144</v>
      </c>
      <c r="C3" s="190" t="s">
        <v>1076</v>
      </c>
      <c r="D3" s="100" t="s">
        <v>926</v>
      </c>
    </row>
    <row r="4" spans="1:5" ht="16.5" customHeight="1" x14ac:dyDescent="0.2">
      <c r="A4" s="101" t="s">
        <v>1369</v>
      </c>
      <c r="B4" s="100" t="s">
        <v>1096</v>
      </c>
      <c r="C4" s="190" t="s">
        <v>1076</v>
      </c>
      <c r="D4" s="100" t="s">
        <v>920</v>
      </c>
    </row>
    <row r="5" spans="1:5" s="97" customFormat="1" ht="16.5" customHeight="1" x14ac:dyDescent="0.2">
      <c r="A5" s="101" t="s">
        <v>1370</v>
      </c>
      <c r="B5" s="100" t="s">
        <v>1181</v>
      </c>
      <c r="C5" s="190" t="s">
        <v>93</v>
      </c>
      <c r="D5" s="100" t="s">
        <v>992</v>
      </c>
      <c r="E5"/>
    </row>
    <row r="6" spans="1:5" ht="16.5" customHeight="1" x14ac:dyDescent="0.2">
      <c r="A6" s="101" t="s">
        <v>1254</v>
      </c>
      <c r="B6" s="100" t="s">
        <v>1106</v>
      </c>
      <c r="C6" s="190" t="s">
        <v>1076</v>
      </c>
      <c r="D6" s="100" t="s">
        <v>922</v>
      </c>
      <c r="E6" s="97"/>
    </row>
    <row r="7" spans="1:5" ht="16.5" customHeight="1" x14ac:dyDescent="0.2">
      <c r="A7" s="101" t="s">
        <v>1371</v>
      </c>
      <c r="B7" s="100" t="s">
        <v>1159</v>
      </c>
      <c r="C7" s="190" t="s">
        <v>99</v>
      </c>
      <c r="D7" s="100" t="s">
        <v>977</v>
      </c>
    </row>
    <row r="8" spans="1:5" ht="16.5" customHeight="1" x14ac:dyDescent="0.2">
      <c r="A8" s="101" t="s">
        <v>151</v>
      </c>
      <c r="B8" s="100" t="s">
        <v>1136</v>
      </c>
      <c r="C8" s="190" t="s">
        <v>1076</v>
      </c>
      <c r="D8" s="100" t="s">
        <v>1026</v>
      </c>
    </row>
    <row r="9" spans="1:5" ht="16" x14ac:dyDescent="0.2">
      <c r="A9" s="101" t="s">
        <v>1202</v>
      </c>
      <c r="B9" s="100" t="s">
        <v>1149</v>
      </c>
      <c r="C9" s="190" t="s">
        <v>1076</v>
      </c>
      <c r="D9" s="100" t="s">
        <v>885</v>
      </c>
    </row>
    <row r="10" spans="1:5" ht="16.5" customHeight="1" x14ac:dyDescent="0.2">
      <c r="A10" s="101" t="s">
        <v>129</v>
      </c>
      <c r="B10" s="100" t="s">
        <v>1171</v>
      </c>
      <c r="C10" s="190" t="s">
        <v>1076</v>
      </c>
      <c r="D10" s="100" t="s">
        <v>1016</v>
      </c>
    </row>
    <row r="11" spans="1:5" ht="16" x14ac:dyDescent="0.2">
      <c r="A11" s="101" t="s">
        <v>299</v>
      </c>
      <c r="B11" s="100" t="s">
        <v>1096</v>
      </c>
      <c r="C11" s="190" t="s">
        <v>1076</v>
      </c>
      <c r="D11" s="100" t="s">
        <v>921</v>
      </c>
    </row>
    <row r="12" spans="1:5" ht="15.75" customHeight="1" x14ac:dyDescent="0.2">
      <c r="A12" s="101" t="s">
        <v>156</v>
      </c>
      <c r="B12" s="100" t="s">
        <v>1255</v>
      </c>
      <c r="C12" s="190" t="s">
        <v>1076</v>
      </c>
      <c r="D12" s="100" t="s">
        <v>1021</v>
      </c>
    </row>
    <row r="13" spans="1:5" ht="16.5" customHeight="1" x14ac:dyDescent="0.2">
      <c r="A13" s="101" t="s">
        <v>274</v>
      </c>
      <c r="B13" s="100" t="s">
        <v>1137</v>
      </c>
      <c r="C13" s="190" t="s">
        <v>1076</v>
      </c>
      <c r="D13" s="100" t="s">
        <v>1042</v>
      </c>
    </row>
    <row r="14" spans="1:5" ht="16.5" customHeight="1" x14ac:dyDescent="0.2">
      <c r="A14" s="101" t="s">
        <v>1189</v>
      </c>
      <c r="B14" s="100" t="s">
        <v>1181</v>
      </c>
      <c r="C14" s="190" t="s">
        <v>93</v>
      </c>
      <c r="D14" s="100" t="s">
        <v>1100</v>
      </c>
    </row>
    <row r="15" spans="1:5" ht="16.5" customHeight="1" x14ac:dyDescent="0.2">
      <c r="A15" s="101" t="s">
        <v>150</v>
      </c>
      <c r="B15" s="100" t="s">
        <v>1172</v>
      </c>
      <c r="C15" s="190" t="s">
        <v>1076</v>
      </c>
      <c r="D15" s="100" t="s">
        <v>1023</v>
      </c>
    </row>
    <row r="16" spans="1:5" ht="16.5" customHeight="1" x14ac:dyDescent="0.2">
      <c r="A16" s="101" t="s">
        <v>1372</v>
      </c>
      <c r="B16" s="100" t="s">
        <v>1200</v>
      </c>
      <c r="C16" s="190" t="s">
        <v>1076</v>
      </c>
      <c r="D16" s="100" t="s">
        <v>1044</v>
      </c>
    </row>
    <row r="17" spans="1:4" ht="16.5" customHeight="1" x14ac:dyDescent="0.2">
      <c r="A17" s="101" t="s">
        <v>1188</v>
      </c>
      <c r="B17" s="100" t="s">
        <v>1172</v>
      </c>
      <c r="C17" s="190" t="s">
        <v>1076</v>
      </c>
      <c r="D17" s="100" t="s">
        <v>1022</v>
      </c>
    </row>
    <row r="18" spans="1:4" ht="16.5" customHeight="1" x14ac:dyDescent="0.2">
      <c r="A18" s="101" t="s">
        <v>1185</v>
      </c>
      <c r="B18" s="100" t="s">
        <v>1134</v>
      </c>
      <c r="C18" s="190" t="s">
        <v>1076</v>
      </c>
      <c r="D18" s="100" t="s">
        <v>1020</v>
      </c>
    </row>
    <row r="19" spans="1:4" ht="16.5" customHeight="1" x14ac:dyDescent="0.2">
      <c r="A19" s="101" t="s">
        <v>1373</v>
      </c>
      <c r="B19" s="100" t="s">
        <v>1193</v>
      </c>
      <c r="C19" s="190" t="s">
        <v>99</v>
      </c>
      <c r="D19" s="100" t="s">
        <v>974</v>
      </c>
    </row>
    <row r="20" spans="1:4" ht="16.5" customHeight="1" x14ac:dyDescent="0.2">
      <c r="A20" s="101" t="s">
        <v>1203</v>
      </c>
      <c r="B20" s="100" t="s">
        <v>1204</v>
      </c>
      <c r="C20" s="190" t="s">
        <v>93</v>
      </c>
      <c r="D20" s="100" t="s">
        <v>967</v>
      </c>
    </row>
    <row r="21" spans="1:4" ht="16.5" customHeight="1" x14ac:dyDescent="0.2">
      <c r="A21" s="188"/>
      <c r="B21" s="189"/>
      <c r="C21" s="189"/>
      <c r="D21" s="189"/>
    </row>
    <row r="22" spans="1:4" ht="16.5" customHeight="1" x14ac:dyDescent="0.2">
      <c r="A22" s="125"/>
      <c r="B22" s="126"/>
      <c r="C22" s="126"/>
      <c r="D22" s="126"/>
    </row>
    <row r="23" spans="1:4" ht="16.5" customHeight="1" x14ac:dyDescent="0.2">
      <c r="A23" s="127"/>
      <c r="B23" s="118"/>
      <c r="C23" s="118"/>
      <c r="D23" s="118"/>
    </row>
    <row r="24" spans="1:4" ht="16.5" customHeight="1" x14ac:dyDescent="0.2">
      <c r="A24" s="119"/>
      <c r="B24" s="118"/>
      <c r="C24" s="118"/>
      <c r="D24" s="118"/>
    </row>
    <row r="25" spans="1:4" ht="16.5" customHeight="1" x14ac:dyDescent="0.2">
      <c r="A25" s="119"/>
      <c r="B25" s="118"/>
      <c r="C25" s="118"/>
      <c r="D25" s="118"/>
    </row>
    <row r="26" spans="1:4" ht="16.5" customHeight="1" x14ac:dyDescent="0.2">
      <c r="A26" s="119"/>
      <c r="B26" s="118"/>
      <c r="C26" s="118"/>
      <c r="D26" s="118"/>
    </row>
    <row r="27" spans="1:4" ht="16.5" customHeight="1" x14ac:dyDescent="0.2">
      <c r="A27" s="119"/>
      <c r="B27" s="118"/>
      <c r="C27" s="118"/>
      <c r="D27" s="118"/>
    </row>
    <row r="28" spans="1:4" ht="16.5" customHeight="1" x14ac:dyDescent="0.2">
      <c r="A28" s="119"/>
      <c r="B28" s="118"/>
      <c r="C28" s="118"/>
      <c r="D28" s="118"/>
    </row>
    <row r="29" spans="1:4" ht="16.5" customHeight="1" x14ac:dyDescent="0.2">
      <c r="A29" s="119"/>
      <c r="B29" s="118"/>
      <c r="C29" s="118"/>
      <c r="D29" s="118"/>
    </row>
    <row r="30" spans="1:4" ht="16" x14ac:dyDescent="0.2">
      <c r="A30" s="128"/>
      <c r="B30" s="118"/>
      <c r="C30" s="118"/>
      <c r="D30" s="118"/>
    </row>
    <row r="31" spans="1:4" ht="16" x14ac:dyDescent="0.2">
      <c r="A31" s="128"/>
      <c r="B31" s="118"/>
      <c r="C31" s="118"/>
      <c r="D31" s="118"/>
    </row>
    <row r="32" spans="1:4" ht="16" x14ac:dyDescent="0.2">
      <c r="A32" s="119"/>
      <c r="B32" s="118"/>
      <c r="C32" s="118"/>
      <c r="D32" s="118"/>
    </row>
    <row r="33" spans="1:4" ht="16" x14ac:dyDescent="0.2">
      <c r="A33" s="119"/>
      <c r="B33" s="118"/>
      <c r="C33" s="118"/>
      <c r="D33" s="118"/>
    </row>
    <row r="34" spans="1:4" ht="16" x14ac:dyDescent="0.2">
      <c r="A34" s="119"/>
      <c r="B34" s="118"/>
      <c r="C34" s="118"/>
      <c r="D34" s="118"/>
    </row>
    <row r="35" spans="1:4" ht="16" x14ac:dyDescent="0.2">
      <c r="A35" s="119"/>
      <c r="B35" s="118"/>
      <c r="C35" s="118"/>
      <c r="D35" s="118"/>
    </row>
    <row r="36" spans="1:4" ht="16" x14ac:dyDescent="0.2">
      <c r="A36" s="119"/>
      <c r="B36" s="118"/>
      <c r="C36" s="118"/>
      <c r="D36" s="118"/>
    </row>
    <row r="37" spans="1:4" ht="16" x14ac:dyDescent="0.2">
      <c r="A37" s="119"/>
      <c r="B37" s="118"/>
      <c r="C37" s="118"/>
      <c r="D37" s="118"/>
    </row>
    <row r="38" spans="1:4" ht="16" x14ac:dyDescent="0.2">
      <c r="A38" s="119"/>
      <c r="B38" s="118"/>
      <c r="C38" s="118"/>
      <c r="D38" s="118"/>
    </row>
    <row r="39" spans="1:4" ht="16" x14ac:dyDescent="0.2">
      <c r="A39" s="119"/>
      <c r="B39" s="118"/>
      <c r="C39" s="118"/>
      <c r="D39" s="118"/>
    </row>
    <row r="40" spans="1:4" ht="16" x14ac:dyDescent="0.2">
      <c r="A40" s="101"/>
      <c r="B40" s="100"/>
      <c r="C40" s="100"/>
      <c r="D40" s="100"/>
    </row>
    <row r="41" spans="1:4" ht="16" x14ac:dyDescent="0.2">
      <c r="A41" s="101"/>
      <c r="B41" s="100"/>
      <c r="C41" s="100"/>
      <c r="D41" s="100"/>
    </row>
    <row r="42" spans="1:4" ht="16" x14ac:dyDescent="0.2">
      <c r="A42" s="101"/>
      <c r="B42" s="100"/>
      <c r="C42" s="100"/>
      <c r="D42" s="100"/>
    </row>
    <row r="43" spans="1:4" ht="16" x14ac:dyDescent="0.2">
      <c r="A43" s="101"/>
      <c r="B43" s="100"/>
      <c r="C43" s="100"/>
      <c r="D43" s="100"/>
    </row>
    <row r="44" spans="1:4" ht="16" x14ac:dyDescent="0.2">
      <c r="A44" s="101"/>
      <c r="B44" s="100"/>
      <c r="C44" s="100"/>
      <c r="D44" s="100"/>
    </row>
    <row r="45" spans="1:4" ht="16" x14ac:dyDescent="0.2">
      <c r="A45" s="101"/>
      <c r="B45" s="100"/>
      <c r="C45" s="100"/>
      <c r="D45" s="100"/>
    </row>
    <row r="46" spans="1:4" ht="16" x14ac:dyDescent="0.2">
      <c r="A46" s="101"/>
      <c r="B46" s="100"/>
      <c r="C46" s="100"/>
      <c r="D46" s="100"/>
    </row>
    <row r="47" spans="1:4" ht="16" x14ac:dyDescent="0.2">
      <c r="A47" s="101"/>
      <c r="B47" s="100"/>
      <c r="C47" s="100"/>
      <c r="D47" s="100"/>
    </row>
    <row r="48" spans="1:4" ht="16" x14ac:dyDescent="0.2">
      <c r="A48" s="101"/>
      <c r="B48" s="100"/>
      <c r="C48" s="100"/>
      <c r="D48" s="100"/>
    </row>
    <row r="49" spans="1:4" ht="16" x14ac:dyDescent="0.2">
      <c r="A49" s="101"/>
      <c r="B49" s="100"/>
      <c r="C49" s="100"/>
      <c r="D49" s="100"/>
    </row>
    <row r="50" spans="1:4" ht="16" x14ac:dyDescent="0.2">
      <c r="A50" s="101"/>
      <c r="B50" s="100"/>
      <c r="C50" s="100"/>
      <c r="D50" s="100"/>
    </row>
    <row r="51" spans="1:4" ht="16" x14ac:dyDescent="0.2">
      <c r="A51" s="101"/>
      <c r="B51" s="100"/>
      <c r="C51" s="100"/>
      <c r="D51" s="100"/>
    </row>
    <row r="52" spans="1:4" ht="16" x14ac:dyDescent="0.2">
      <c r="A52" s="101"/>
      <c r="B52" s="100"/>
      <c r="C52" s="100"/>
      <c r="D52" s="100"/>
    </row>
    <row r="53" spans="1:4" ht="16" x14ac:dyDescent="0.2">
      <c r="A53" s="101"/>
      <c r="B53" s="100"/>
      <c r="C53" s="100"/>
      <c r="D53" s="100"/>
    </row>
    <row r="54" spans="1:4" x14ac:dyDescent="0.2">
      <c r="A54" s="37"/>
      <c r="B54" s="37"/>
      <c r="C54" s="37"/>
      <c r="D54" s="37"/>
    </row>
    <row r="55" spans="1:4" x14ac:dyDescent="0.2">
      <c r="A55" s="37"/>
      <c r="B55" s="37"/>
      <c r="C55" s="37"/>
      <c r="D55" s="37"/>
    </row>
    <row r="56" spans="1:4" x14ac:dyDescent="0.2">
      <c r="A56" s="37"/>
      <c r="B56" s="37"/>
      <c r="C56" s="37"/>
      <c r="D56" s="37"/>
    </row>
    <row r="57" spans="1:4" x14ac:dyDescent="0.2">
      <c r="A57" s="37"/>
      <c r="B57" s="37"/>
      <c r="C57" s="37"/>
      <c r="D57" s="37"/>
    </row>
    <row r="58" spans="1:4" x14ac:dyDescent="0.2">
      <c r="A58" s="37"/>
      <c r="B58" s="37"/>
      <c r="C58" s="37"/>
      <c r="D58" s="37"/>
    </row>
  </sheetData>
  <protectedRanges>
    <protectedRange sqref="A21" name="Intervalo1_24_1_1_1"/>
    <protectedRange sqref="A3" name="Intervalo1_24_1_1"/>
  </protectedRanges>
  <sortState xmlns:xlrd2="http://schemas.microsoft.com/office/spreadsheetml/2017/richdata2" ref="E3:E20">
    <sortCondition ref="E3"/>
  </sortState>
  <mergeCells count="1">
    <mergeCell ref="A1:D1"/>
  </mergeCells>
  <phoneticPr fontId="35" type="noConversion"/>
  <dataValidations count="6">
    <dataValidation type="list" allowBlank="1" showInputMessage="1" showErrorMessage="1" sqref="C38:C53" xr:uid="{00000000-0002-0000-0100-000000000000}">
      <formula1>$H$5:$H$69</formula1>
    </dataValidation>
    <dataValidation type="list" allowBlank="1" showInputMessage="1" showErrorMessage="1" sqref="C23" xr:uid="{00000000-0002-0000-0100-000001000000}">
      <formula1>$M$5:$M$69</formula1>
    </dataValidation>
    <dataValidation type="list" allowBlank="1" showInputMessage="1" showErrorMessage="1" sqref="C22" xr:uid="{00000000-0002-0000-0100-000002000000}">
      <formula1>$O$5:$O$69</formula1>
    </dataValidation>
    <dataValidation type="list" allowBlank="1" showInputMessage="1" showErrorMessage="1" sqref="C30:C31 C27:C28 C33:C37" xr:uid="{00000000-0002-0000-0100-000003000000}">
      <formula1>$O$5:$O$68</formula1>
    </dataValidation>
    <dataValidation type="list" allowBlank="1" showInputMessage="1" showErrorMessage="1" sqref="C26" xr:uid="{00000000-0002-0000-0100-000004000000}">
      <formula1>$O$5:$O$67</formula1>
    </dataValidation>
    <dataValidation type="list" allowBlank="1" showInputMessage="1" showErrorMessage="1" sqref="C32 C3:C21" xr:uid="{00000000-0002-0000-0100-000005000000}">
      <formula1>$P$5:$P$69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I42"/>
  <sheetViews>
    <sheetView zoomScale="110" zoomScaleNormal="110" workbookViewId="0">
      <selection activeCell="A20" sqref="A20"/>
    </sheetView>
  </sheetViews>
  <sheetFormatPr baseColWidth="10" defaultColWidth="8.83203125" defaultRowHeight="15" x14ac:dyDescent="0.2"/>
  <cols>
    <col min="1" max="1" width="47.83203125" style="82" customWidth="1"/>
    <col min="2" max="2" width="18.5" style="36" customWidth="1"/>
    <col min="3" max="3" width="38.5" style="82" bestFit="1" customWidth="1"/>
    <col min="4" max="4" width="25.6640625" style="36" customWidth="1"/>
    <col min="5" max="5" width="13.6640625" style="36" customWidth="1"/>
  </cols>
  <sheetData>
    <row r="1" spans="1:9" ht="47" x14ac:dyDescent="0.2">
      <c r="A1" s="225" t="s">
        <v>1058</v>
      </c>
      <c r="B1" s="225"/>
      <c r="C1" s="225"/>
      <c r="D1" s="225"/>
      <c r="E1" s="225"/>
    </row>
    <row r="2" spans="1:9" x14ac:dyDescent="0.2">
      <c r="A2" s="50" t="s">
        <v>1059</v>
      </c>
      <c r="B2" s="50" t="s">
        <v>1081</v>
      </c>
      <c r="C2" s="50" t="s">
        <v>1060</v>
      </c>
      <c r="D2" s="50" t="s">
        <v>1061</v>
      </c>
      <c r="E2" s="50" t="s">
        <v>1062</v>
      </c>
    </row>
    <row r="3" spans="1:9" ht="15.75" customHeight="1" x14ac:dyDescent="0.2">
      <c r="A3" s="192" t="s">
        <v>1374</v>
      </c>
      <c r="B3" s="169">
        <v>41537041</v>
      </c>
      <c r="C3" s="122" t="s">
        <v>1199</v>
      </c>
      <c r="D3" s="190" t="s">
        <v>1076</v>
      </c>
      <c r="E3" s="100" t="s">
        <v>1037</v>
      </c>
    </row>
    <row r="4" spans="1:9" ht="15.75" customHeight="1" x14ac:dyDescent="0.2">
      <c r="A4" s="192" t="s">
        <v>1364</v>
      </c>
      <c r="B4" s="170">
        <v>43493397</v>
      </c>
      <c r="C4" s="100" t="s">
        <v>1136</v>
      </c>
      <c r="D4" s="190" t="s">
        <v>1076</v>
      </c>
      <c r="E4" s="100" t="s">
        <v>1026</v>
      </c>
    </row>
    <row r="5" spans="1:9" ht="15.75" customHeight="1" x14ac:dyDescent="0.2">
      <c r="A5" s="192" t="s">
        <v>1353</v>
      </c>
      <c r="B5" s="170">
        <v>71167024</v>
      </c>
      <c r="C5" s="100" t="s">
        <v>1144</v>
      </c>
      <c r="D5" s="190" t="s">
        <v>1076</v>
      </c>
      <c r="E5" s="100" t="s">
        <v>926</v>
      </c>
    </row>
    <row r="6" spans="1:9" ht="15.75" customHeight="1" x14ac:dyDescent="0.2">
      <c r="A6" s="192" t="s">
        <v>1350</v>
      </c>
      <c r="B6" s="170">
        <v>40446956</v>
      </c>
      <c r="C6" s="100" t="s">
        <v>109</v>
      </c>
      <c r="D6" s="190" t="s">
        <v>1076</v>
      </c>
      <c r="E6" s="100" t="s">
        <v>911</v>
      </c>
    </row>
    <row r="7" spans="1:9" ht="15.75" customHeight="1" x14ac:dyDescent="0.2">
      <c r="A7" s="192" t="s">
        <v>1355</v>
      </c>
      <c r="B7" s="170">
        <v>46512871</v>
      </c>
      <c r="C7" s="100" t="s">
        <v>1157</v>
      </c>
      <c r="D7" s="100" t="s">
        <v>93</v>
      </c>
      <c r="E7" s="100" t="s">
        <v>970</v>
      </c>
    </row>
    <row r="8" spans="1:9" s="73" customFormat="1" ht="15.75" customHeight="1" x14ac:dyDescent="0.2">
      <c r="A8" s="192" t="s">
        <v>1352</v>
      </c>
      <c r="B8" s="170">
        <v>40096731</v>
      </c>
      <c r="C8" s="100" t="s">
        <v>1106</v>
      </c>
      <c r="D8" s="190" t="s">
        <v>1076</v>
      </c>
      <c r="E8" s="100" t="s">
        <v>922</v>
      </c>
      <c r="F8"/>
      <c r="G8"/>
      <c r="H8"/>
      <c r="I8"/>
    </row>
    <row r="9" spans="1:9" ht="15.75" customHeight="1" x14ac:dyDescent="0.2">
      <c r="A9" s="192" t="s">
        <v>1366</v>
      </c>
      <c r="B9" s="170">
        <v>47180730</v>
      </c>
      <c r="C9" s="100" t="s">
        <v>1137</v>
      </c>
      <c r="D9" s="190" t="s">
        <v>1076</v>
      </c>
      <c r="E9" s="100" t="s">
        <v>1042</v>
      </c>
    </row>
    <row r="10" spans="1:9" ht="15.75" customHeight="1" x14ac:dyDescent="0.2">
      <c r="A10" s="192" t="s">
        <v>293</v>
      </c>
      <c r="B10" s="170">
        <v>43730186</v>
      </c>
      <c r="C10" s="100" t="s">
        <v>1261</v>
      </c>
      <c r="D10" s="190" t="s">
        <v>1076</v>
      </c>
      <c r="E10" s="100" t="s">
        <v>1023</v>
      </c>
      <c r="G10" s="73"/>
    </row>
    <row r="11" spans="1:9" ht="15.75" customHeight="1" x14ac:dyDescent="0.2">
      <c r="A11" s="192" t="s">
        <v>1359</v>
      </c>
      <c r="B11" s="170">
        <v>49515577</v>
      </c>
      <c r="C11" s="100" t="s">
        <v>1360</v>
      </c>
      <c r="D11" s="100" t="s">
        <v>1141</v>
      </c>
      <c r="E11" s="100" t="s">
        <v>968</v>
      </c>
      <c r="G11" s="73"/>
    </row>
    <row r="12" spans="1:9" ht="15.75" customHeight="1" x14ac:dyDescent="0.2">
      <c r="A12" s="192" t="s">
        <v>1367</v>
      </c>
      <c r="B12" s="170">
        <v>40492820</v>
      </c>
      <c r="C12" s="100" t="s">
        <v>1149</v>
      </c>
      <c r="D12" s="190" t="s">
        <v>1076</v>
      </c>
      <c r="E12" s="100" t="s">
        <v>885</v>
      </c>
    </row>
    <row r="13" spans="1:9" ht="15.75" customHeight="1" x14ac:dyDescent="0.2">
      <c r="A13" s="192" t="s">
        <v>1356</v>
      </c>
      <c r="B13" s="170">
        <v>44146190</v>
      </c>
      <c r="C13" s="100" t="s">
        <v>1193</v>
      </c>
      <c r="D13" s="190" t="s">
        <v>99</v>
      </c>
      <c r="E13" s="100" t="s">
        <v>974</v>
      </c>
    </row>
    <row r="14" spans="1:9" ht="15.75" customHeight="1" x14ac:dyDescent="0.2">
      <c r="A14" s="192" t="s">
        <v>1351</v>
      </c>
      <c r="B14" s="186">
        <v>46193610</v>
      </c>
      <c r="C14" s="100" t="s">
        <v>1096</v>
      </c>
      <c r="D14" s="190" t="s">
        <v>1076</v>
      </c>
      <c r="E14" s="100" t="s">
        <v>920</v>
      </c>
    </row>
    <row r="15" spans="1:9" ht="15.75" customHeight="1" x14ac:dyDescent="0.2">
      <c r="A15" s="192" t="s">
        <v>249</v>
      </c>
      <c r="B15" s="170">
        <v>40610306</v>
      </c>
      <c r="C15" s="100" t="s">
        <v>1200</v>
      </c>
      <c r="D15" s="190" t="s">
        <v>1076</v>
      </c>
      <c r="E15" s="100" t="s">
        <v>1044</v>
      </c>
    </row>
    <row r="16" spans="1:9" ht="17" x14ac:dyDescent="0.2">
      <c r="A16" s="192" t="s">
        <v>1357</v>
      </c>
      <c r="B16" s="170">
        <v>70266378</v>
      </c>
      <c r="C16" s="122" t="s">
        <v>1358</v>
      </c>
      <c r="D16" s="100" t="s">
        <v>1141</v>
      </c>
      <c r="E16" s="100" t="s">
        <v>967</v>
      </c>
    </row>
    <row r="17" spans="1:5" ht="17" x14ac:dyDescent="0.2">
      <c r="A17" s="192" t="s">
        <v>163</v>
      </c>
      <c r="B17" s="170">
        <v>42220465</v>
      </c>
      <c r="C17" s="122" t="s">
        <v>1365</v>
      </c>
      <c r="D17" s="190" t="s">
        <v>1076</v>
      </c>
      <c r="E17" s="100" t="s">
        <v>1034</v>
      </c>
    </row>
    <row r="18" spans="1:5" ht="17" x14ac:dyDescent="0.2">
      <c r="A18" s="192" t="s">
        <v>1354</v>
      </c>
      <c r="B18" s="170">
        <v>44347355</v>
      </c>
      <c r="C18" s="100" t="s">
        <v>1307</v>
      </c>
      <c r="D18" s="100" t="s">
        <v>93</v>
      </c>
      <c r="E18" s="100" t="s">
        <v>1100</v>
      </c>
    </row>
    <row r="19" spans="1:5" ht="17" x14ac:dyDescent="0.2">
      <c r="A19" s="192" t="s">
        <v>1361</v>
      </c>
      <c r="B19" s="170">
        <v>45281199</v>
      </c>
      <c r="C19" s="100" t="s">
        <v>1171</v>
      </c>
      <c r="D19" s="190" t="s">
        <v>1076</v>
      </c>
      <c r="E19" s="100" t="s">
        <v>1016</v>
      </c>
    </row>
    <row r="20" spans="1:5" ht="17" x14ac:dyDescent="0.2">
      <c r="A20" s="192" t="s">
        <v>1363</v>
      </c>
      <c r="B20" s="170">
        <v>46428140</v>
      </c>
      <c r="C20" s="100" t="s">
        <v>1119</v>
      </c>
      <c r="D20" s="190" t="s">
        <v>1076</v>
      </c>
      <c r="E20" s="100" t="s">
        <v>1022</v>
      </c>
    </row>
    <row r="21" spans="1:5" ht="16" x14ac:dyDescent="0.2">
      <c r="A21" s="119"/>
      <c r="B21" s="120"/>
      <c r="C21" s="120"/>
      <c r="D21" s="118"/>
      <c r="E21" s="124"/>
    </row>
    <row r="22" spans="1:5" ht="16" x14ac:dyDescent="0.2">
      <c r="A22" s="119"/>
      <c r="B22" s="130"/>
      <c r="C22" s="120"/>
      <c r="D22" s="118"/>
      <c r="E22" s="124"/>
    </row>
    <row r="23" spans="1:5" ht="16" x14ac:dyDescent="0.2">
      <c r="A23" s="101"/>
      <c r="B23" s="102"/>
      <c r="C23" s="101"/>
      <c r="D23" s="100"/>
      <c r="E23" s="100"/>
    </row>
    <row r="24" spans="1:5" ht="16" x14ac:dyDescent="0.2">
      <c r="A24" s="128"/>
      <c r="B24" s="120"/>
      <c r="C24" s="118"/>
      <c r="D24" s="118"/>
      <c r="E24" s="118"/>
    </row>
    <row r="25" spans="1:5" ht="16" x14ac:dyDescent="0.2">
      <c r="A25" s="128"/>
      <c r="B25" s="120"/>
      <c r="C25" s="118"/>
      <c r="D25" s="118"/>
      <c r="E25" s="118"/>
    </row>
    <row r="26" spans="1:5" ht="16" x14ac:dyDescent="0.2">
      <c r="A26" s="128"/>
      <c r="B26" s="120"/>
      <c r="C26" s="118"/>
      <c r="D26" s="118"/>
      <c r="E26" s="118"/>
    </row>
    <row r="27" spans="1:5" ht="16" x14ac:dyDescent="0.2">
      <c r="A27" s="128"/>
      <c r="B27" s="120"/>
      <c r="C27" s="118"/>
      <c r="D27" s="118"/>
      <c r="E27" s="118"/>
    </row>
    <row r="28" spans="1:5" ht="16" x14ac:dyDescent="0.2">
      <c r="A28" s="128"/>
      <c r="B28" s="120"/>
      <c r="C28" s="118"/>
      <c r="D28" s="118"/>
      <c r="E28" s="118"/>
    </row>
    <row r="29" spans="1:5" ht="16" x14ac:dyDescent="0.2">
      <c r="A29" s="128"/>
      <c r="B29" s="120"/>
      <c r="C29" s="118"/>
      <c r="D29" s="118"/>
      <c r="E29" s="118"/>
    </row>
    <row r="30" spans="1:5" ht="16" x14ac:dyDescent="0.2">
      <c r="A30" s="121"/>
      <c r="B30" s="120"/>
      <c r="C30" s="118"/>
      <c r="D30" s="118"/>
      <c r="E30" s="129"/>
    </row>
    <row r="31" spans="1:5" ht="16" x14ac:dyDescent="0.2">
      <c r="A31" s="121"/>
      <c r="B31" s="120"/>
      <c r="C31" s="118"/>
      <c r="D31" s="118"/>
      <c r="E31" s="118"/>
    </row>
    <row r="32" spans="1:5" ht="16" x14ac:dyDescent="0.2">
      <c r="A32" s="121"/>
      <c r="B32" s="120"/>
      <c r="C32" s="118"/>
      <c r="D32" s="118"/>
      <c r="E32" s="118"/>
    </row>
    <row r="33" spans="1:5" ht="16" x14ac:dyDescent="0.2">
      <c r="A33" s="121"/>
      <c r="B33" s="120"/>
      <c r="C33" s="118"/>
      <c r="D33" s="118"/>
      <c r="E33" s="118"/>
    </row>
    <row r="34" spans="1:5" ht="16" x14ac:dyDescent="0.2">
      <c r="A34" s="121"/>
      <c r="B34" s="120"/>
      <c r="C34" s="118"/>
      <c r="D34" s="118"/>
      <c r="E34" s="118"/>
    </row>
    <row r="35" spans="1:5" ht="16" x14ac:dyDescent="0.2">
      <c r="A35" s="121"/>
      <c r="B35" s="120"/>
      <c r="C35" s="118"/>
      <c r="D35" s="118"/>
      <c r="E35" s="118"/>
    </row>
    <row r="36" spans="1:5" ht="16" x14ac:dyDescent="0.2">
      <c r="A36" s="121"/>
      <c r="B36" s="120"/>
      <c r="C36" s="118"/>
      <c r="D36" s="118"/>
      <c r="E36" s="118"/>
    </row>
    <row r="37" spans="1:5" ht="16" x14ac:dyDescent="0.2">
      <c r="A37" s="123"/>
      <c r="B37" s="120"/>
      <c r="C37" s="118"/>
      <c r="D37" s="118"/>
      <c r="E37" s="118"/>
    </row>
    <row r="38" spans="1:5" ht="16" x14ac:dyDescent="0.2">
      <c r="A38" s="123"/>
      <c r="B38" s="120"/>
      <c r="C38" s="118"/>
      <c r="D38" s="118"/>
      <c r="E38" s="118"/>
    </row>
    <row r="39" spans="1:5" x14ac:dyDescent="0.2">
      <c r="A39" s="99"/>
      <c r="B39" s="84"/>
      <c r="C39" s="111"/>
      <c r="D39" s="98"/>
      <c r="E39" s="83"/>
    </row>
    <row r="40" spans="1:5" x14ac:dyDescent="0.2">
      <c r="A40" s="99"/>
      <c r="B40" s="84"/>
      <c r="C40" s="111"/>
      <c r="D40" s="98"/>
      <c r="E40" s="83"/>
    </row>
    <row r="41" spans="1:5" x14ac:dyDescent="0.2">
      <c r="A41" s="99"/>
      <c r="B41" s="84"/>
      <c r="C41" s="112"/>
      <c r="D41" s="98"/>
      <c r="E41" s="83"/>
    </row>
    <row r="42" spans="1:5" x14ac:dyDescent="0.2">
      <c r="A42" s="81"/>
      <c r="B42" s="37"/>
      <c r="C42" s="81"/>
      <c r="D42" s="37"/>
      <c r="E42" s="37"/>
    </row>
  </sheetData>
  <protectedRanges>
    <protectedRange sqref="A3" name="Intervalo1_24_1_1"/>
  </protectedRanges>
  <sortState xmlns:xlrd2="http://schemas.microsoft.com/office/spreadsheetml/2017/richdata2" ref="G3:G9">
    <sortCondition ref="G3"/>
  </sortState>
  <mergeCells count="1">
    <mergeCell ref="A1:E1"/>
  </mergeCells>
  <phoneticPr fontId="35" type="noConversion"/>
  <dataValidations count="3">
    <dataValidation type="list" allowBlank="1" showInputMessage="1" showErrorMessage="1" sqref="D22:D23" xr:uid="{00000000-0002-0000-0200-000000000000}">
      <formula1>$I$5:$I$54</formula1>
    </dataValidation>
    <dataValidation type="list" allowBlank="1" showInputMessage="1" showErrorMessage="1" sqref="D35:D36" xr:uid="{00000000-0002-0000-0200-000001000000}">
      <formula1>$O$5:$O$54</formula1>
    </dataValidation>
    <dataValidation type="list" allowBlank="1" showInputMessage="1" showErrorMessage="1" sqref="D19:D20 D8:D10 D3:D6 D17 D12:D15" xr:uid="{00000000-0002-0000-0200-000002000000}">
      <formula1>$P$5:$P$69</formula1>
    </dataValidation>
  </dataValidations>
  <pageMargins left="0.31496062992125984" right="0.31496062992125984" top="0.39370078740157483" bottom="0.39370078740157483" header="0.31496062992125984" footer="0.31496062992125984"/>
  <pageSetup paperSize="9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C716"/>
  <sheetViews>
    <sheetView workbookViewId="0">
      <pane ySplit="3" topLeftCell="A4" activePane="bottomLeft" state="frozen"/>
      <selection pane="bottomLeft" sqref="A1:A3"/>
    </sheetView>
  </sheetViews>
  <sheetFormatPr baseColWidth="10" defaultColWidth="9.1640625" defaultRowHeight="15" x14ac:dyDescent="0.2"/>
  <cols>
    <col min="1" max="1" width="49.5" style="28" customWidth="1"/>
    <col min="2" max="2" width="69.83203125" style="28" bestFit="1" customWidth="1"/>
    <col min="3" max="3" width="13.1640625" style="28" customWidth="1"/>
    <col min="4" max="16384" width="9.1640625" style="28"/>
  </cols>
  <sheetData>
    <row r="1" spans="1:3" x14ac:dyDescent="0.2">
      <c r="A1" s="226" t="s">
        <v>71</v>
      </c>
      <c r="B1" s="226" t="s">
        <v>72</v>
      </c>
      <c r="C1" s="226" t="s">
        <v>73</v>
      </c>
    </row>
    <row r="2" spans="1:3" x14ac:dyDescent="0.2">
      <c r="A2" s="226"/>
      <c r="B2" s="226"/>
      <c r="C2" s="226"/>
    </row>
    <row r="3" spans="1:3" x14ac:dyDescent="0.2">
      <c r="A3" s="226"/>
      <c r="B3" s="226"/>
      <c r="C3" s="226"/>
    </row>
    <row r="4" spans="1:3" x14ac:dyDescent="0.2">
      <c r="A4" s="27" t="s">
        <v>357</v>
      </c>
      <c r="B4" s="27" t="s">
        <v>256</v>
      </c>
      <c r="C4" s="28" t="s">
        <v>358</v>
      </c>
    </row>
    <row r="5" spans="1:3" x14ac:dyDescent="0.2">
      <c r="A5" s="27" t="s">
        <v>179</v>
      </c>
      <c r="B5" s="27" t="s">
        <v>308</v>
      </c>
      <c r="C5" s="28" t="s">
        <v>358</v>
      </c>
    </row>
    <row r="6" spans="1:3" x14ac:dyDescent="0.2">
      <c r="A6" s="27" t="s">
        <v>356</v>
      </c>
      <c r="B6" s="27" t="s">
        <v>248</v>
      </c>
      <c r="C6" s="28" t="s">
        <v>358</v>
      </c>
    </row>
    <row r="7" spans="1:3" x14ac:dyDescent="0.2">
      <c r="A7" s="27" t="s">
        <v>192</v>
      </c>
      <c r="B7" s="27" t="s">
        <v>336</v>
      </c>
      <c r="C7" s="28" t="s">
        <v>358</v>
      </c>
    </row>
    <row r="8" spans="1:3" x14ac:dyDescent="0.2">
      <c r="A8" s="27" t="s">
        <v>355</v>
      </c>
      <c r="B8" s="27" t="s">
        <v>282</v>
      </c>
      <c r="C8" s="28" t="s">
        <v>358</v>
      </c>
    </row>
    <row r="9" spans="1:3" x14ac:dyDescent="0.2">
      <c r="A9" s="27" t="s">
        <v>354</v>
      </c>
      <c r="B9" s="27" t="s">
        <v>241</v>
      </c>
      <c r="C9" s="28" t="s">
        <v>358</v>
      </c>
    </row>
    <row r="10" spans="1:3" x14ac:dyDescent="0.2">
      <c r="A10" s="27" t="s">
        <v>175</v>
      </c>
      <c r="B10" s="27" t="s">
        <v>333</v>
      </c>
      <c r="C10" s="28" t="s">
        <v>358</v>
      </c>
    </row>
    <row r="11" spans="1:3" x14ac:dyDescent="0.2">
      <c r="A11" s="27" t="s">
        <v>353</v>
      </c>
      <c r="B11" s="27" t="s">
        <v>214</v>
      </c>
      <c r="C11" s="28" t="s">
        <v>358</v>
      </c>
    </row>
    <row r="12" spans="1:3" x14ac:dyDescent="0.2">
      <c r="A12" s="27" t="s">
        <v>352</v>
      </c>
      <c r="B12" s="27" t="s">
        <v>269</v>
      </c>
      <c r="C12" s="28" t="s">
        <v>358</v>
      </c>
    </row>
    <row r="13" spans="1:3" x14ac:dyDescent="0.2">
      <c r="A13" s="27" t="s">
        <v>351</v>
      </c>
      <c r="B13" s="27" t="s">
        <v>327</v>
      </c>
      <c r="C13" s="28" t="s">
        <v>358</v>
      </c>
    </row>
    <row r="14" spans="1:3" x14ac:dyDescent="0.2">
      <c r="A14" s="27" t="s">
        <v>209</v>
      </c>
      <c r="B14" s="27" t="s">
        <v>232</v>
      </c>
      <c r="C14" s="28" t="s">
        <v>358</v>
      </c>
    </row>
    <row r="15" spans="1:3" x14ac:dyDescent="0.2">
      <c r="A15" s="27" t="s">
        <v>350</v>
      </c>
      <c r="B15" s="27" t="s">
        <v>214</v>
      </c>
      <c r="C15" s="28" t="s">
        <v>358</v>
      </c>
    </row>
    <row r="16" spans="1:3" x14ac:dyDescent="0.2">
      <c r="A16" s="27" t="s">
        <v>349</v>
      </c>
      <c r="B16" s="27" t="s">
        <v>230</v>
      </c>
      <c r="C16" s="28" t="s">
        <v>358</v>
      </c>
    </row>
    <row r="17" spans="1:3" x14ac:dyDescent="0.2">
      <c r="A17" s="27" t="s">
        <v>348</v>
      </c>
      <c r="B17" s="27" t="s">
        <v>324</v>
      </c>
      <c r="C17" s="28" t="s">
        <v>358</v>
      </c>
    </row>
    <row r="18" spans="1:3" x14ac:dyDescent="0.2">
      <c r="A18" s="27" t="s">
        <v>171</v>
      </c>
      <c r="B18" s="27" t="s">
        <v>258</v>
      </c>
      <c r="C18" s="28" t="s">
        <v>358</v>
      </c>
    </row>
    <row r="19" spans="1:3" x14ac:dyDescent="0.2">
      <c r="A19" s="27" t="s">
        <v>347</v>
      </c>
      <c r="B19" s="27" t="s">
        <v>248</v>
      </c>
      <c r="C19" s="28" t="s">
        <v>358</v>
      </c>
    </row>
    <row r="20" spans="1:3" x14ac:dyDescent="0.2">
      <c r="A20" s="27" t="s">
        <v>139</v>
      </c>
      <c r="B20" s="27" t="s">
        <v>218</v>
      </c>
      <c r="C20" s="28" t="s">
        <v>358</v>
      </c>
    </row>
    <row r="21" spans="1:3" x14ac:dyDescent="0.2">
      <c r="A21" s="27" t="s">
        <v>124</v>
      </c>
      <c r="B21" s="27" t="s">
        <v>336</v>
      </c>
      <c r="C21" s="28" t="s">
        <v>358</v>
      </c>
    </row>
    <row r="22" spans="1:3" x14ac:dyDescent="0.2">
      <c r="A22" s="27" t="s">
        <v>206</v>
      </c>
      <c r="B22" s="27" t="s">
        <v>230</v>
      </c>
      <c r="C22" s="28" t="s">
        <v>358</v>
      </c>
    </row>
    <row r="23" spans="1:3" x14ac:dyDescent="0.2">
      <c r="A23" s="27" t="s">
        <v>346</v>
      </c>
      <c r="B23" s="27" t="s">
        <v>230</v>
      </c>
      <c r="C23" s="28" t="s">
        <v>358</v>
      </c>
    </row>
    <row r="24" spans="1:3" x14ac:dyDescent="0.2">
      <c r="A24" s="27" t="s">
        <v>345</v>
      </c>
      <c r="B24" s="27" t="s">
        <v>248</v>
      </c>
      <c r="C24" s="28" t="s">
        <v>358</v>
      </c>
    </row>
    <row r="25" spans="1:3" x14ac:dyDescent="0.2">
      <c r="A25" s="27" t="s">
        <v>344</v>
      </c>
      <c r="B25" s="27" t="s">
        <v>343</v>
      </c>
      <c r="C25" s="28" t="s">
        <v>358</v>
      </c>
    </row>
    <row r="26" spans="1:3" x14ac:dyDescent="0.2">
      <c r="A26" s="27" t="s">
        <v>174</v>
      </c>
      <c r="B26" s="27" t="s">
        <v>236</v>
      </c>
      <c r="C26" s="28" t="s">
        <v>358</v>
      </c>
    </row>
    <row r="27" spans="1:3" x14ac:dyDescent="0.2">
      <c r="A27" s="27" t="s">
        <v>342</v>
      </c>
      <c r="B27" s="27" t="s">
        <v>242</v>
      </c>
      <c r="C27" s="28" t="s">
        <v>358</v>
      </c>
    </row>
    <row r="28" spans="1:3" x14ac:dyDescent="0.2">
      <c r="A28" s="27" t="s">
        <v>199</v>
      </c>
      <c r="B28" s="27" t="s">
        <v>308</v>
      </c>
      <c r="C28" s="28" t="s">
        <v>358</v>
      </c>
    </row>
    <row r="29" spans="1:3" x14ac:dyDescent="0.2">
      <c r="A29" s="27" t="s">
        <v>341</v>
      </c>
      <c r="B29" s="27" t="s">
        <v>230</v>
      </c>
      <c r="C29" s="28" t="s">
        <v>358</v>
      </c>
    </row>
    <row r="30" spans="1:3" x14ac:dyDescent="0.2">
      <c r="A30" s="27" t="s">
        <v>340</v>
      </c>
      <c r="B30" s="27" t="s">
        <v>339</v>
      </c>
      <c r="C30" s="28" t="s">
        <v>358</v>
      </c>
    </row>
    <row r="31" spans="1:3" x14ac:dyDescent="0.2">
      <c r="A31" s="27" t="s">
        <v>338</v>
      </c>
      <c r="B31" s="27" t="s">
        <v>240</v>
      </c>
      <c r="C31" s="28" t="s">
        <v>358</v>
      </c>
    </row>
    <row r="32" spans="1:3" x14ac:dyDescent="0.2">
      <c r="A32" s="27" t="s">
        <v>172</v>
      </c>
      <c r="B32" s="27" t="s">
        <v>220</v>
      </c>
      <c r="C32" s="28" t="s">
        <v>358</v>
      </c>
    </row>
    <row r="33" spans="1:3" x14ac:dyDescent="0.2">
      <c r="A33" s="27" t="s">
        <v>337</v>
      </c>
      <c r="B33" s="27" t="s">
        <v>336</v>
      </c>
      <c r="C33" s="28" t="s">
        <v>358</v>
      </c>
    </row>
    <row r="34" spans="1:3" x14ac:dyDescent="0.2">
      <c r="A34" s="27" t="s">
        <v>197</v>
      </c>
      <c r="B34" s="27" t="s">
        <v>230</v>
      </c>
      <c r="C34" s="28" t="s">
        <v>358</v>
      </c>
    </row>
    <row r="35" spans="1:3" x14ac:dyDescent="0.2">
      <c r="A35" s="27" t="s">
        <v>125</v>
      </c>
      <c r="B35" s="27" t="s">
        <v>267</v>
      </c>
      <c r="C35" s="28" t="s">
        <v>358</v>
      </c>
    </row>
    <row r="36" spans="1:3" x14ac:dyDescent="0.2">
      <c r="A36" s="27" t="s">
        <v>335</v>
      </c>
      <c r="B36" s="27" t="s">
        <v>308</v>
      </c>
      <c r="C36" s="28" t="s">
        <v>358</v>
      </c>
    </row>
    <row r="37" spans="1:3" x14ac:dyDescent="0.2">
      <c r="A37" s="27" t="s">
        <v>334</v>
      </c>
      <c r="B37" s="27" t="s">
        <v>333</v>
      </c>
      <c r="C37" s="28" t="s">
        <v>358</v>
      </c>
    </row>
    <row r="38" spans="1:3" x14ac:dyDescent="0.2">
      <c r="A38" s="27" t="s">
        <v>332</v>
      </c>
      <c r="B38" s="27" t="s">
        <v>296</v>
      </c>
      <c r="C38" s="28" t="s">
        <v>358</v>
      </c>
    </row>
    <row r="39" spans="1:3" x14ac:dyDescent="0.2">
      <c r="A39" s="27" t="s">
        <v>168</v>
      </c>
      <c r="B39" s="27" t="s">
        <v>327</v>
      </c>
      <c r="C39" s="28" t="s">
        <v>358</v>
      </c>
    </row>
    <row r="40" spans="1:3" x14ac:dyDescent="0.2">
      <c r="A40" s="27" t="s">
        <v>331</v>
      </c>
      <c r="B40" s="27" t="s">
        <v>227</v>
      </c>
      <c r="C40" s="28" t="s">
        <v>358</v>
      </c>
    </row>
    <row r="41" spans="1:3" x14ac:dyDescent="0.2">
      <c r="A41" s="27" t="s">
        <v>176</v>
      </c>
      <c r="B41" s="27" t="s">
        <v>296</v>
      </c>
      <c r="C41" s="28" t="s">
        <v>358</v>
      </c>
    </row>
    <row r="42" spans="1:3" x14ac:dyDescent="0.2">
      <c r="A42" s="27" t="s">
        <v>330</v>
      </c>
      <c r="B42" s="27" t="s">
        <v>228</v>
      </c>
      <c r="C42" s="28" t="s">
        <v>358</v>
      </c>
    </row>
    <row r="43" spans="1:3" x14ac:dyDescent="0.2">
      <c r="A43" s="27" t="s">
        <v>130</v>
      </c>
      <c r="B43" s="27" t="s">
        <v>212</v>
      </c>
      <c r="C43" s="28" t="s">
        <v>358</v>
      </c>
    </row>
    <row r="44" spans="1:3" x14ac:dyDescent="0.2">
      <c r="A44" s="27" t="s">
        <v>329</v>
      </c>
      <c r="B44" s="27" t="s">
        <v>230</v>
      </c>
      <c r="C44" s="28" t="s">
        <v>358</v>
      </c>
    </row>
    <row r="45" spans="1:3" x14ac:dyDescent="0.2">
      <c r="A45" s="27" t="s">
        <v>328</v>
      </c>
      <c r="B45" s="27" t="s">
        <v>327</v>
      </c>
      <c r="C45" s="28" t="s">
        <v>358</v>
      </c>
    </row>
    <row r="46" spans="1:3" x14ac:dyDescent="0.2">
      <c r="A46" s="27" t="s">
        <v>162</v>
      </c>
      <c r="B46" s="27" t="s">
        <v>271</v>
      </c>
      <c r="C46" s="28" t="s">
        <v>358</v>
      </c>
    </row>
    <row r="47" spans="1:3" x14ac:dyDescent="0.2">
      <c r="A47" s="27" t="s">
        <v>173</v>
      </c>
      <c r="B47" s="27" t="s">
        <v>216</v>
      </c>
      <c r="C47" s="28" t="s">
        <v>358</v>
      </c>
    </row>
    <row r="48" spans="1:3" x14ac:dyDescent="0.2">
      <c r="A48" s="27" t="s">
        <v>326</v>
      </c>
      <c r="B48" s="27" t="s">
        <v>285</v>
      </c>
      <c r="C48" s="28" t="s">
        <v>358</v>
      </c>
    </row>
    <row r="49" spans="1:3" x14ac:dyDescent="0.2">
      <c r="A49" s="27" t="s">
        <v>325</v>
      </c>
      <c r="B49" s="27" t="s">
        <v>324</v>
      </c>
      <c r="C49" s="28" t="s">
        <v>358</v>
      </c>
    </row>
    <row r="50" spans="1:3" x14ac:dyDescent="0.2">
      <c r="A50" s="27" t="s">
        <v>178</v>
      </c>
      <c r="B50" s="27" t="s">
        <v>251</v>
      </c>
      <c r="C50" s="28" t="s">
        <v>358</v>
      </c>
    </row>
    <row r="51" spans="1:3" x14ac:dyDescent="0.2">
      <c r="A51" s="27" t="s">
        <v>323</v>
      </c>
      <c r="B51" s="27" t="s">
        <v>302</v>
      </c>
      <c r="C51" s="28" t="s">
        <v>358</v>
      </c>
    </row>
    <row r="52" spans="1:3" x14ac:dyDescent="0.2">
      <c r="A52" s="27" t="s">
        <v>322</v>
      </c>
      <c r="B52" s="27" t="s">
        <v>214</v>
      </c>
      <c r="C52" s="28" t="s">
        <v>358</v>
      </c>
    </row>
    <row r="53" spans="1:3" x14ac:dyDescent="0.2">
      <c r="A53" s="27" t="s">
        <v>321</v>
      </c>
      <c r="B53" s="27" t="s">
        <v>265</v>
      </c>
      <c r="C53" s="28" t="s">
        <v>358</v>
      </c>
    </row>
    <row r="54" spans="1:3" x14ac:dyDescent="0.2">
      <c r="A54" s="27" t="s">
        <v>134</v>
      </c>
      <c r="B54" s="27" t="s">
        <v>214</v>
      </c>
      <c r="C54" s="28" t="s">
        <v>358</v>
      </c>
    </row>
    <row r="55" spans="1:3" x14ac:dyDescent="0.2">
      <c r="A55" s="27" t="s">
        <v>320</v>
      </c>
      <c r="B55" s="27" t="s">
        <v>230</v>
      </c>
      <c r="C55" s="28" t="s">
        <v>358</v>
      </c>
    </row>
    <row r="56" spans="1:3" x14ac:dyDescent="0.2">
      <c r="A56" s="27" t="s">
        <v>153</v>
      </c>
      <c r="B56" s="27" t="s">
        <v>243</v>
      </c>
      <c r="C56" s="28" t="s">
        <v>358</v>
      </c>
    </row>
    <row r="57" spans="1:3" x14ac:dyDescent="0.2">
      <c r="A57" s="27" t="s">
        <v>203</v>
      </c>
      <c r="B57" s="27" t="s">
        <v>296</v>
      </c>
      <c r="C57" s="28" t="s">
        <v>358</v>
      </c>
    </row>
    <row r="58" spans="1:3" x14ac:dyDescent="0.2">
      <c r="A58" s="27" t="s">
        <v>128</v>
      </c>
      <c r="B58" s="27" t="s">
        <v>311</v>
      </c>
      <c r="C58" s="28" t="s">
        <v>358</v>
      </c>
    </row>
    <row r="59" spans="1:3" x14ac:dyDescent="0.2">
      <c r="A59" s="27" t="s">
        <v>319</v>
      </c>
      <c r="B59" s="27" t="s">
        <v>220</v>
      </c>
      <c r="C59" s="28" t="s">
        <v>358</v>
      </c>
    </row>
    <row r="60" spans="1:3" x14ac:dyDescent="0.2">
      <c r="A60" s="27" t="s">
        <v>161</v>
      </c>
      <c r="B60" s="27" t="s">
        <v>238</v>
      </c>
      <c r="C60" s="28" t="s">
        <v>358</v>
      </c>
    </row>
    <row r="61" spans="1:3" x14ac:dyDescent="0.2">
      <c r="A61" s="27" t="s">
        <v>131</v>
      </c>
      <c r="B61" s="27" t="s">
        <v>216</v>
      </c>
      <c r="C61" s="28" t="s">
        <v>358</v>
      </c>
    </row>
    <row r="62" spans="1:3" x14ac:dyDescent="0.2">
      <c r="A62" s="27" t="s">
        <v>169</v>
      </c>
      <c r="B62" s="27" t="s">
        <v>218</v>
      </c>
      <c r="C62" s="28" t="s">
        <v>358</v>
      </c>
    </row>
    <row r="63" spans="1:3" x14ac:dyDescent="0.2">
      <c r="A63" s="27" t="s">
        <v>318</v>
      </c>
      <c r="B63" s="27" t="s">
        <v>244</v>
      </c>
      <c r="C63" s="28" t="s">
        <v>358</v>
      </c>
    </row>
    <row r="64" spans="1:3" x14ac:dyDescent="0.2">
      <c r="A64" s="27" t="s">
        <v>317</v>
      </c>
      <c r="B64" s="27" t="s">
        <v>242</v>
      </c>
      <c r="C64" s="28" t="s">
        <v>358</v>
      </c>
    </row>
    <row r="65" spans="1:3" x14ac:dyDescent="0.2">
      <c r="A65" s="27" t="s">
        <v>177</v>
      </c>
      <c r="B65" s="27" t="s">
        <v>214</v>
      </c>
      <c r="C65" s="28" t="s">
        <v>358</v>
      </c>
    </row>
    <row r="66" spans="1:3" x14ac:dyDescent="0.2">
      <c r="A66" s="27" t="s">
        <v>316</v>
      </c>
      <c r="B66" s="27" t="s">
        <v>214</v>
      </c>
      <c r="C66" s="28" t="s">
        <v>358</v>
      </c>
    </row>
    <row r="67" spans="1:3" x14ac:dyDescent="0.2">
      <c r="A67" s="27" t="s">
        <v>315</v>
      </c>
      <c r="B67" s="27" t="s">
        <v>256</v>
      </c>
      <c r="C67" s="28" t="s">
        <v>358</v>
      </c>
    </row>
    <row r="68" spans="1:3" x14ac:dyDescent="0.2">
      <c r="A68" s="27" t="s">
        <v>314</v>
      </c>
      <c r="B68" s="27" t="s">
        <v>214</v>
      </c>
      <c r="C68" s="28" t="s">
        <v>358</v>
      </c>
    </row>
    <row r="69" spans="1:3" x14ac:dyDescent="0.2">
      <c r="A69" s="27" t="s">
        <v>313</v>
      </c>
      <c r="B69" s="27" t="s">
        <v>248</v>
      </c>
      <c r="C69" s="28" t="s">
        <v>358</v>
      </c>
    </row>
    <row r="70" spans="1:3" x14ac:dyDescent="0.2">
      <c r="A70" s="27" t="s">
        <v>151</v>
      </c>
      <c r="B70" s="27" t="s">
        <v>277</v>
      </c>
      <c r="C70" s="28" t="s">
        <v>358</v>
      </c>
    </row>
    <row r="71" spans="1:3" x14ac:dyDescent="0.2">
      <c r="A71" s="27" t="s">
        <v>312</v>
      </c>
      <c r="B71" s="27" t="s">
        <v>311</v>
      </c>
      <c r="C71" s="28" t="s">
        <v>358</v>
      </c>
    </row>
    <row r="72" spans="1:3" x14ac:dyDescent="0.2">
      <c r="A72" s="27" t="s">
        <v>310</v>
      </c>
      <c r="B72" s="27" t="s">
        <v>277</v>
      </c>
      <c r="C72" s="28" t="s">
        <v>358</v>
      </c>
    </row>
    <row r="73" spans="1:3" x14ac:dyDescent="0.2">
      <c r="A73" s="27" t="s">
        <v>309</v>
      </c>
      <c r="B73" s="27" t="s">
        <v>308</v>
      </c>
      <c r="C73" s="28" t="s">
        <v>358</v>
      </c>
    </row>
    <row r="74" spans="1:3" x14ac:dyDescent="0.2">
      <c r="A74" s="27" t="s">
        <v>307</v>
      </c>
      <c r="B74" s="27" t="s">
        <v>243</v>
      </c>
      <c r="C74" s="28" t="s">
        <v>358</v>
      </c>
    </row>
    <row r="75" spans="1:3" x14ac:dyDescent="0.2">
      <c r="A75" s="27" t="s">
        <v>159</v>
      </c>
      <c r="B75" s="27" t="s">
        <v>256</v>
      </c>
      <c r="C75" s="28" t="s">
        <v>358</v>
      </c>
    </row>
    <row r="76" spans="1:3" x14ac:dyDescent="0.2">
      <c r="A76" s="27" t="s">
        <v>149</v>
      </c>
      <c r="B76" s="27" t="s">
        <v>254</v>
      </c>
      <c r="C76" s="28" t="s">
        <v>358</v>
      </c>
    </row>
    <row r="77" spans="1:3" x14ac:dyDescent="0.2">
      <c r="A77" s="27" t="s">
        <v>306</v>
      </c>
      <c r="B77" s="27" t="s">
        <v>304</v>
      </c>
      <c r="C77" s="28" t="s">
        <v>358</v>
      </c>
    </row>
    <row r="78" spans="1:3" x14ac:dyDescent="0.2">
      <c r="A78" s="27" t="s">
        <v>205</v>
      </c>
      <c r="B78" s="27" t="s">
        <v>240</v>
      </c>
      <c r="C78" s="28" t="s">
        <v>358</v>
      </c>
    </row>
    <row r="79" spans="1:3" x14ac:dyDescent="0.2">
      <c r="A79" s="27" t="s">
        <v>305</v>
      </c>
      <c r="B79" s="27" t="s">
        <v>304</v>
      </c>
      <c r="C79" s="28" t="s">
        <v>358</v>
      </c>
    </row>
    <row r="80" spans="1:3" x14ac:dyDescent="0.2">
      <c r="A80" s="27" t="s">
        <v>123</v>
      </c>
      <c r="B80" s="27" t="s">
        <v>269</v>
      </c>
      <c r="C80" s="28" t="s">
        <v>358</v>
      </c>
    </row>
    <row r="81" spans="1:3" x14ac:dyDescent="0.2">
      <c r="A81" s="27" t="s">
        <v>303</v>
      </c>
      <c r="B81" s="27" t="s">
        <v>243</v>
      </c>
      <c r="C81" s="28" t="s">
        <v>358</v>
      </c>
    </row>
    <row r="82" spans="1:3" x14ac:dyDescent="0.2">
      <c r="A82" s="27" t="s">
        <v>129</v>
      </c>
      <c r="B82" s="27" t="s">
        <v>302</v>
      </c>
      <c r="C82" s="28" t="s">
        <v>358</v>
      </c>
    </row>
    <row r="83" spans="1:3" x14ac:dyDescent="0.2">
      <c r="A83" s="27" t="s">
        <v>301</v>
      </c>
      <c r="B83" s="27" t="s">
        <v>248</v>
      </c>
      <c r="C83" s="28" t="s">
        <v>358</v>
      </c>
    </row>
    <row r="84" spans="1:3" x14ac:dyDescent="0.2">
      <c r="A84" s="27" t="s">
        <v>201</v>
      </c>
      <c r="B84" s="27" t="s">
        <v>256</v>
      </c>
      <c r="C84" s="28" t="s">
        <v>358</v>
      </c>
    </row>
    <row r="85" spans="1:3" x14ac:dyDescent="0.2">
      <c r="A85" s="27" t="s">
        <v>300</v>
      </c>
      <c r="B85" s="27" t="s">
        <v>230</v>
      </c>
      <c r="C85" s="28" t="s">
        <v>358</v>
      </c>
    </row>
    <row r="86" spans="1:3" x14ac:dyDescent="0.2">
      <c r="A86" s="27" t="s">
        <v>299</v>
      </c>
      <c r="B86" s="27" t="s">
        <v>267</v>
      </c>
      <c r="C86" s="28" t="s">
        <v>358</v>
      </c>
    </row>
    <row r="87" spans="1:3" x14ac:dyDescent="0.2">
      <c r="A87" s="27" t="s">
        <v>298</v>
      </c>
      <c r="B87" s="27" t="s">
        <v>258</v>
      </c>
      <c r="C87" s="28" t="s">
        <v>358</v>
      </c>
    </row>
    <row r="88" spans="1:3" x14ac:dyDescent="0.2">
      <c r="A88" s="27" t="s">
        <v>138</v>
      </c>
      <c r="B88" s="27" t="s">
        <v>285</v>
      </c>
      <c r="C88" s="28" t="s">
        <v>358</v>
      </c>
    </row>
    <row r="89" spans="1:3" x14ac:dyDescent="0.2">
      <c r="A89" s="27" t="s">
        <v>166</v>
      </c>
      <c r="B89" s="27" t="s">
        <v>288</v>
      </c>
      <c r="C89" s="28" t="s">
        <v>358</v>
      </c>
    </row>
    <row r="90" spans="1:3" x14ac:dyDescent="0.2">
      <c r="A90" s="27" t="s">
        <v>297</v>
      </c>
      <c r="B90" s="27" t="s">
        <v>296</v>
      </c>
      <c r="C90" s="28" t="s">
        <v>358</v>
      </c>
    </row>
    <row r="91" spans="1:3" x14ac:dyDescent="0.2">
      <c r="A91" s="27" t="s">
        <v>295</v>
      </c>
      <c r="B91" s="27" t="s">
        <v>269</v>
      </c>
      <c r="C91" s="28" t="s">
        <v>358</v>
      </c>
    </row>
    <row r="92" spans="1:3" x14ac:dyDescent="0.2">
      <c r="A92" s="27" t="s">
        <v>294</v>
      </c>
      <c r="B92" s="27" t="s">
        <v>240</v>
      </c>
      <c r="C92" s="28" t="s">
        <v>358</v>
      </c>
    </row>
    <row r="93" spans="1:3" x14ac:dyDescent="0.2">
      <c r="A93" s="27" t="s">
        <v>193</v>
      </c>
      <c r="B93" s="27" t="s">
        <v>242</v>
      </c>
      <c r="C93" s="28" t="s">
        <v>358</v>
      </c>
    </row>
    <row r="94" spans="1:3" x14ac:dyDescent="0.2">
      <c r="A94" s="27" t="s">
        <v>293</v>
      </c>
      <c r="B94" s="27" t="s">
        <v>246</v>
      </c>
      <c r="C94" s="28" t="s">
        <v>358</v>
      </c>
    </row>
    <row r="95" spans="1:3" x14ac:dyDescent="0.2">
      <c r="A95" s="27" t="s">
        <v>292</v>
      </c>
      <c r="B95" s="27" t="s">
        <v>277</v>
      </c>
      <c r="C95" s="28" t="s">
        <v>358</v>
      </c>
    </row>
    <row r="96" spans="1:3" x14ac:dyDescent="0.2">
      <c r="A96" s="27" t="s">
        <v>291</v>
      </c>
      <c r="B96" s="27" t="s">
        <v>214</v>
      </c>
      <c r="C96" s="28" t="s">
        <v>358</v>
      </c>
    </row>
    <row r="97" spans="1:3" x14ac:dyDescent="0.2">
      <c r="A97" s="27" t="s">
        <v>165</v>
      </c>
      <c r="B97" s="27" t="s">
        <v>269</v>
      </c>
      <c r="C97" s="28" t="s">
        <v>358</v>
      </c>
    </row>
    <row r="98" spans="1:3" x14ac:dyDescent="0.2">
      <c r="A98" s="27" t="s">
        <v>127</v>
      </c>
      <c r="B98" s="27" t="s">
        <v>228</v>
      </c>
      <c r="C98" s="28" t="s">
        <v>358</v>
      </c>
    </row>
    <row r="99" spans="1:3" x14ac:dyDescent="0.2">
      <c r="A99" s="27" t="s">
        <v>290</v>
      </c>
      <c r="B99" s="27" t="s">
        <v>214</v>
      </c>
      <c r="C99" s="28" t="s">
        <v>358</v>
      </c>
    </row>
    <row r="100" spans="1:3" x14ac:dyDescent="0.2">
      <c r="A100" s="27" t="s">
        <v>155</v>
      </c>
      <c r="B100" s="27" t="s">
        <v>230</v>
      </c>
      <c r="C100" s="28" t="s">
        <v>358</v>
      </c>
    </row>
    <row r="101" spans="1:3" x14ac:dyDescent="0.2">
      <c r="A101" s="27" t="s">
        <v>136</v>
      </c>
      <c r="B101" s="27" t="s">
        <v>220</v>
      </c>
      <c r="C101" s="28" t="s">
        <v>358</v>
      </c>
    </row>
    <row r="102" spans="1:3" x14ac:dyDescent="0.2">
      <c r="A102" s="27" t="s">
        <v>137</v>
      </c>
      <c r="B102" s="27" t="s">
        <v>251</v>
      </c>
      <c r="C102" s="28" t="s">
        <v>358</v>
      </c>
    </row>
    <row r="103" spans="1:3" x14ac:dyDescent="0.2">
      <c r="A103" s="27" t="s">
        <v>154</v>
      </c>
      <c r="B103" s="27" t="s">
        <v>230</v>
      </c>
      <c r="C103" s="28" t="s">
        <v>358</v>
      </c>
    </row>
    <row r="104" spans="1:3" x14ac:dyDescent="0.2">
      <c r="A104" s="27" t="s">
        <v>289</v>
      </c>
      <c r="B104" s="27" t="s">
        <v>288</v>
      </c>
      <c r="C104" s="28" t="s">
        <v>358</v>
      </c>
    </row>
    <row r="105" spans="1:3" x14ac:dyDescent="0.2">
      <c r="A105" s="27" t="s">
        <v>287</v>
      </c>
      <c r="B105" s="27" t="s">
        <v>267</v>
      </c>
      <c r="C105" s="28" t="s">
        <v>358</v>
      </c>
    </row>
    <row r="106" spans="1:3" x14ac:dyDescent="0.2">
      <c r="A106" s="27" t="s">
        <v>286</v>
      </c>
      <c r="B106" s="27" t="s">
        <v>285</v>
      </c>
      <c r="C106" s="28" t="s">
        <v>358</v>
      </c>
    </row>
    <row r="107" spans="1:3" x14ac:dyDescent="0.2">
      <c r="A107" s="27" t="s">
        <v>284</v>
      </c>
      <c r="B107" s="27" t="s">
        <v>214</v>
      </c>
      <c r="C107" s="28" t="s">
        <v>358</v>
      </c>
    </row>
    <row r="108" spans="1:3" x14ac:dyDescent="0.2">
      <c r="A108" s="27" t="s">
        <v>283</v>
      </c>
      <c r="B108" s="27" t="s">
        <v>282</v>
      </c>
      <c r="C108" s="28" t="s">
        <v>358</v>
      </c>
    </row>
    <row r="109" spans="1:3" x14ac:dyDescent="0.2">
      <c r="A109" s="27" t="s">
        <v>156</v>
      </c>
      <c r="B109" s="27" t="s">
        <v>230</v>
      </c>
      <c r="C109" s="28" t="s">
        <v>358</v>
      </c>
    </row>
    <row r="110" spans="1:3" x14ac:dyDescent="0.2">
      <c r="A110" s="27" t="s">
        <v>281</v>
      </c>
      <c r="B110" s="27" t="s">
        <v>214</v>
      </c>
      <c r="C110" s="28" t="s">
        <v>358</v>
      </c>
    </row>
    <row r="111" spans="1:3" x14ac:dyDescent="0.2">
      <c r="A111" s="27" t="s">
        <v>280</v>
      </c>
      <c r="B111" s="27" t="s">
        <v>218</v>
      </c>
      <c r="C111" s="28" t="s">
        <v>358</v>
      </c>
    </row>
    <row r="112" spans="1:3" x14ac:dyDescent="0.2">
      <c r="A112" s="27" t="s">
        <v>279</v>
      </c>
      <c r="B112" s="27" t="s">
        <v>242</v>
      </c>
      <c r="C112" s="28" t="s">
        <v>358</v>
      </c>
    </row>
    <row r="113" spans="1:3" x14ac:dyDescent="0.2">
      <c r="A113" s="27" t="s">
        <v>278</v>
      </c>
      <c r="B113" s="27" t="s">
        <v>241</v>
      </c>
      <c r="C113" s="28" t="s">
        <v>358</v>
      </c>
    </row>
    <row r="114" spans="1:3" x14ac:dyDescent="0.2">
      <c r="A114" s="27" t="s">
        <v>152</v>
      </c>
      <c r="B114" s="27" t="s">
        <v>277</v>
      </c>
      <c r="C114" s="28" t="s">
        <v>358</v>
      </c>
    </row>
    <row r="115" spans="1:3" x14ac:dyDescent="0.2">
      <c r="A115" s="27" t="s">
        <v>276</v>
      </c>
      <c r="B115" s="27" t="s">
        <v>275</v>
      </c>
      <c r="C115" s="28" t="s">
        <v>358</v>
      </c>
    </row>
    <row r="116" spans="1:3" x14ac:dyDescent="0.2">
      <c r="A116" s="27" t="s">
        <v>274</v>
      </c>
      <c r="B116" s="27" t="s">
        <v>242</v>
      </c>
      <c r="C116" s="28" t="s">
        <v>358</v>
      </c>
    </row>
    <row r="117" spans="1:3" x14ac:dyDescent="0.2">
      <c r="A117" s="27" t="s">
        <v>273</v>
      </c>
      <c r="B117" s="27" t="s">
        <v>230</v>
      </c>
      <c r="C117" s="28" t="s">
        <v>358</v>
      </c>
    </row>
    <row r="118" spans="1:3" x14ac:dyDescent="0.2">
      <c r="A118" s="27" t="s">
        <v>272</v>
      </c>
      <c r="B118" s="27" t="s">
        <v>271</v>
      </c>
      <c r="C118" s="28" t="s">
        <v>358</v>
      </c>
    </row>
    <row r="119" spans="1:3" x14ac:dyDescent="0.2">
      <c r="A119" s="27" t="s">
        <v>270</v>
      </c>
      <c r="B119" s="27" t="s">
        <v>238</v>
      </c>
      <c r="C119" s="28" t="s">
        <v>358</v>
      </c>
    </row>
    <row r="120" spans="1:3" x14ac:dyDescent="0.2">
      <c r="A120" s="27" t="s">
        <v>167</v>
      </c>
      <c r="B120" s="27" t="s">
        <v>269</v>
      </c>
      <c r="C120" s="28" t="s">
        <v>358</v>
      </c>
    </row>
    <row r="121" spans="1:3" x14ac:dyDescent="0.2">
      <c r="A121" s="27" t="s">
        <v>268</v>
      </c>
      <c r="B121" s="27" t="s">
        <v>267</v>
      </c>
      <c r="C121" s="28" t="s">
        <v>358</v>
      </c>
    </row>
    <row r="122" spans="1:3" x14ac:dyDescent="0.2">
      <c r="A122" s="27" t="s">
        <v>266</v>
      </c>
      <c r="B122" s="27" t="s">
        <v>265</v>
      </c>
      <c r="C122" s="28" t="s">
        <v>358</v>
      </c>
    </row>
    <row r="123" spans="1:3" x14ac:dyDescent="0.2">
      <c r="A123" s="27" t="s">
        <v>264</v>
      </c>
      <c r="B123" s="27" t="s">
        <v>215</v>
      </c>
      <c r="C123" s="28" t="s">
        <v>358</v>
      </c>
    </row>
    <row r="124" spans="1:3" x14ac:dyDescent="0.2">
      <c r="A124" s="27" t="s">
        <v>263</v>
      </c>
      <c r="B124" s="27" t="s">
        <v>256</v>
      </c>
      <c r="C124" s="28" t="s">
        <v>358</v>
      </c>
    </row>
    <row r="125" spans="1:3" x14ac:dyDescent="0.2">
      <c r="A125" s="27" t="s">
        <v>262</v>
      </c>
      <c r="B125" s="27" t="s">
        <v>230</v>
      </c>
      <c r="C125" s="28" t="s">
        <v>358</v>
      </c>
    </row>
    <row r="126" spans="1:3" x14ac:dyDescent="0.2">
      <c r="A126" s="27" t="s">
        <v>261</v>
      </c>
      <c r="B126" s="27" t="s">
        <v>214</v>
      </c>
      <c r="C126" s="28" t="s">
        <v>358</v>
      </c>
    </row>
    <row r="127" spans="1:3" x14ac:dyDescent="0.2">
      <c r="A127" s="27" t="s">
        <v>260</v>
      </c>
      <c r="B127" s="27" t="s">
        <v>251</v>
      </c>
      <c r="C127" s="28" t="s">
        <v>358</v>
      </c>
    </row>
    <row r="128" spans="1:3" x14ac:dyDescent="0.2">
      <c r="A128" s="27" t="s">
        <v>259</v>
      </c>
      <c r="B128" s="27" t="s">
        <v>258</v>
      </c>
      <c r="C128" s="28" t="s">
        <v>358</v>
      </c>
    </row>
    <row r="129" spans="1:3" x14ac:dyDescent="0.2">
      <c r="A129" s="27" t="s">
        <v>150</v>
      </c>
      <c r="B129" s="27" t="s">
        <v>222</v>
      </c>
      <c r="C129" s="28" t="s">
        <v>358</v>
      </c>
    </row>
    <row r="130" spans="1:3" x14ac:dyDescent="0.2">
      <c r="A130" s="27" t="s">
        <v>204</v>
      </c>
      <c r="B130" s="27" t="s">
        <v>230</v>
      </c>
      <c r="C130" s="28" t="s">
        <v>358</v>
      </c>
    </row>
    <row r="131" spans="1:3" x14ac:dyDescent="0.2">
      <c r="A131" s="27" t="s">
        <v>132</v>
      </c>
      <c r="B131" s="27" t="s">
        <v>214</v>
      </c>
      <c r="C131" s="28" t="s">
        <v>358</v>
      </c>
    </row>
    <row r="132" spans="1:3" x14ac:dyDescent="0.2">
      <c r="A132" s="27" t="s">
        <v>157</v>
      </c>
      <c r="B132" s="27" t="s">
        <v>230</v>
      </c>
      <c r="C132" s="28" t="s">
        <v>358</v>
      </c>
    </row>
    <row r="133" spans="1:3" x14ac:dyDescent="0.2">
      <c r="A133" s="27" t="s">
        <v>160</v>
      </c>
      <c r="B133" s="27" t="s">
        <v>248</v>
      </c>
      <c r="C133" s="28" t="s">
        <v>358</v>
      </c>
    </row>
    <row r="134" spans="1:3" x14ac:dyDescent="0.2">
      <c r="A134" s="27" t="s">
        <v>257</v>
      </c>
      <c r="B134" s="27" t="s">
        <v>256</v>
      </c>
      <c r="C134" s="28" t="s">
        <v>358</v>
      </c>
    </row>
    <row r="135" spans="1:3" x14ac:dyDescent="0.2">
      <c r="A135" s="27" t="s">
        <v>255</v>
      </c>
      <c r="B135" s="27" t="s">
        <v>254</v>
      </c>
      <c r="C135" s="28" t="s">
        <v>358</v>
      </c>
    </row>
    <row r="136" spans="1:3" x14ac:dyDescent="0.2">
      <c r="A136" s="27" t="s">
        <v>253</v>
      </c>
      <c r="B136" s="27" t="s">
        <v>228</v>
      </c>
      <c r="C136" s="28" t="s">
        <v>358</v>
      </c>
    </row>
    <row r="137" spans="1:3" x14ac:dyDescent="0.2">
      <c r="A137" s="27" t="s">
        <v>252</v>
      </c>
      <c r="B137" s="27" t="s">
        <v>251</v>
      </c>
      <c r="C137" s="28" t="s">
        <v>358</v>
      </c>
    </row>
    <row r="138" spans="1:3" x14ac:dyDescent="0.2">
      <c r="A138" s="27" t="s">
        <v>250</v>
      </c>
      <c r="B138" s="27" t="s">
        <v>214</v>
      </c>
      <c r="C138" s="28" t="s">
        <v>358</v>
      </c>
    </row>
    <row r="139" spans="1:3" x14ac:dyDescent="0.2">
      <c r="A139" s="27" t="s">
        <v>249</v>
      </c>
      <c r="B139" s="27" t="s">
        <v>216</v>
      </c>
      <c r="C139" s="28" t="s">
        <v>358</v>
      </c>
    </row>
    <row r="140" spans="1:3" x14ac:dyDescent="0.2">
      <c r="A140" s="27" t="s">
        <v>202</v>
      </c>
      <c r="B140" s="27" t="s">
        <v>248</v>
      </c>
      <c r="C140" s="28" t="s">
        <v>358</v>
      </c>
    </row>
    <row r="141" spans="1:3" x14ac:dyDescent="0.2">
      <c r="A141" s="27" t="s">
        <v>198</v>
      </c>
      <c r="B141" s="27" t="s">
        <v>241</v>
      </c>
      <c r="C141" s="28" t="s">
        <v>358</v>
      </c>
    </row>
    <row r="142" spans="1:3" x14ac:dyDescent="0.2">
      <c r="A142" s="27" t="s">
        <v>200</v>
      </c>
      <c r="B142" s="27" t="s">
        <v>248</v>
      </c>
      <c r="C142" s="28" t="s">
        <v>358</v>
      </c>
    </row>
    <row r="143" spans="1:3" x14ac:dyDescent="0.2">
      <c r="A143" s="27" t="s">
        <v>122</v>
      </c>
      <c r="B143" s="27" t="s">
        <v>227</v>
      </c>
      <c r="C143" s="28" t="s">
        <v>358</v>
      </c>
    </row>
    <row r="144" spans="1:3" x14ac:dyDescent="0.2">
      <c r="A144" s="27" t="s">
        <v>247</v>
      </c>
      <c r="B144" s="27" t="s">
        <v>246</v>
      </c>
      <c r="C144" s="28" t="s">
        <v>358</v>
      </c>
    </row>
    <row r="145" spans="1:3" x14ac:dyDescent="0.2">
      <c r="A145" s="27" t="s">
        <v>245</v>
      </c>
      <c r="B145" s="27" t="s">
        <v>230</v>
      </c>
      <c r="C145" s="28" t="s">
        <v>358</v>
      </c>
    </row>
    <row r="146" spans="1:3" x14ac:dyDescent="0.2">
      <c r="A146" s="27" t="s">
        <v>121</v>
      </c>
      <c r="B146" s="27" t="s">
        <v>234</v>
      </c>
      <c r="C146" s="28" t="s">
        <v>358</v>
      </c>
    </row>
    <row r="147" spans="1:3" x14ac:dyDescent="0.2">
      <c r="A147" s="27" t="s">
        <v>133</v>
      </c>
      <c r="B147" s="27" t="s">
        <v>214</v>
      </c>
      <c r="C147" s="28" t="s">
        <v>358</v>
      </c>
    </row>
    <row r="148" spans="1:3" x14ac:dyDescent="0.2">
      <c r="A148" s="27" t="s">
        <v>164</v>
      </c>
      <c r="B148" s="27" t="s">
        <v>244</v>
      </c>
      <c r="C148" s="28" t="s">
        <v>358</v>
      </c>
    </row>
    <row r="149" spans="1:3" x14ac:dyDescent="0.2">
      <c r="A149" s="27" t="s">
        <v>196</v>
      </c>
      <c r="B149" s="27" t="s">
        <v>243</v>
      </c>
      <c r="C149" s="28" t="s">
        <v>358</v>
      </c>
    </row>
    <row r="150" spans="1:3" x14ac:dyDescent="0.2">
      <c r="A150" s="27" t="s">
        <v>194</v>
      </c>
      <c r="B150" s="27" t="s">
        <v>242</v>
      </c>
      <c r="C150" s="28" t="s">
        <v>358</v>
      </c>
    </row>
    <row r="151" spans="1:3" x14ac:dyDescent="0.2">
      <c r="A151" s="27" t="s">
        <v>135</v>
      </c>
      <c r="B151" s="27" t="s">
        <v>214</v>
      </c>
      <c r="C151" s="28" t="s">
        <v>358</v>
      </c>
    </row>
    <row r="152" spans="1:3" x14ac:dyDescent="0.2">
      <c r="A152" s="27" t="s">
        <v>158</v>
      </c>
      <c r="B152" s="27" t="s">
        <v>241</v>
      </c>
      <c r="C152" s="28" t="s">
        <v>358</v>
      </c>
    </row>
    <row r="153" spans="1:3" x14ac:dyDescent="0.2">
      <c r="A153" s="27" t="s">
        <v>163</v>
      </c>
      <c r="B153" s="27" t="s">
        <v>240</v>
      </c>
      <c r="C153" s="28" t="s">
        <v>358</v>
      </c>
    </row>
    <row r="154" spans="1:3" x14ac:dyDescent="0.2">
      <c r="A154" s="27" t="s">
        <v>239</v>
      </c>
      <c r="B154" s="27" t="s">
        <v>238</v>
      </c>
      <c r="C154" s="28" t="s">
        <v>358</v>
      </c>
    </row>
    <row r="155" spans="1:3" x14ac:dyDescent="0.2">
      <c r="A155" s="27" t="s">
        <v>237</v>
      </c>
      <c r="B155" s="27" t="s">
        <v>236</v>
      </c>
      <c r="C155" s="28" t="s">
        <v>358</v>
      </c>
    </row>
    <row r="156" spans="1:3" x14ac:dyDescent="0.2">
      <c r="A156" s="27" t="s">
        <v>235</v>
      </c>
      <c r="B156" s="27" t="s">
        <v>234</v>
      </c>
      <c r="C156" s="28" t="s">
        <v>358</v>
      </c>
    </row>
    <row r="157" spans="1:3" x14ac:dyDescent="0.2">
      <c r="A157" s="27" t="s">
        <v>233</v>
      </c>
      <c r="B157" s="27" t="s">
        <v>232</v>
      </c>
      <c r="C157" s="28" t="s">
        <v>358</v>
      </c>
    </row>
    <row r="158" spans="1:3" x14ac:dyDescent="0.2">
      <c r="A158" s="27" t="s">
        <v>231</v>
      </c>
      <c r="B158" s="27" t="s">
        <v>230</v>
      </c>
      <c r="C158" s="28" t="s">
        <v>358</v>
      </c>
    </row>
    <row r="159" spans="1:3" x14ac:dyDescent="0.2">
      <c r="A159" s="27" t="s">
        <v>229</v>
      </c>
      <c r="B159" s="27" t="s">
        <v>228</v>
      </c>
      <c r="C159" s="28" t="s">
        <v>358</v>
      </c>
    </row>
    <row r="160" spans="1:3" x14ac:dyDescent="0.2">
      <c r="A160" s="27" t="s">
        <v>170</v>
      </c>
      <c r="B160" s="27" t="s">
        <v>227</v>
      </c>
      <c r="C160" s="28" t="s">
        <v>358</v>
      </c>
    </row>
    <row r="161" spans="1:3" x14ac:dyDescent="0.2">
      <c r="A161" s="27" t="s">
        <v>226</v>
      </c>
      <c r="B161" s="27" t="s">
        <v>225</v>
      </c>
      <c r="C161" s="28" t="s">
        <v>358</v>
      </c>
    </row>
    <row r="162" spans="1:3" x14ac:dyDescent="0.2">
      <c r="A162" s="27" t="s">
        <v>191</v>
      </c>
      <c r="B162" s="27" t="s">
        <v>214</v>
      </c>
      <c r="C162" s="28" t="s">
        <v>358</v>
      </c>
    </row>
    <row r="163" spans="1:3" x14ac:dyDescent="0.2">
      <c r="A163" s="27" t="s">
        <v>224</v>
      </c>
      <c r="B163" s="27" t="s">
        <v>216</v>
      </c>
      <c r="C163" s="28" t="s">
        <v>358</v>
      </c>
    </row>
    <row r="164" spans="1:3" x14ac:dyDescent="0.2">
      <c r="A164" s="27" t="s">
        <v>223</v>
      </c>
      <c r="B164" s="27" t="s">
        <v>222</v>
      </c>
      <c r="C164" s="28" t="s">
        <v>358</v>
      </c>
    </row>
    <row r="165" spans="1:3" x14ac:dyDescent="0.2">
      <c r="A165" s="27" t="s">
        <v>221</v>
      </c>
      <c r="B165" s="27" t="s">
        <v>220</v>
      </c>
      <c r="C165" s="28" t="s">
        <v>358</v>
      </c>
    </row>
    <row r="166" spans="1:3" x14ac:dyDescent="0.2">
      <c r="A166" s="27" t="s">
        <v>219</v>
      </c>
      <c r="B166" s="27" t="s">
        <v>218</v>
      </c>
      <c r="C166" s="28" t="s">
        <v>358</v>
      </c>
    </row>
    <row r="167" spans="1:3" x14ac:dyDescent="0.2">
      <c r="A167" s="27" t="s">
        <v>217</v>
      </c>
      <c r="B167" s="27" t="s">
        <v>216</v>
      </c>
      <c r="C167" s="28" t="s">
        <v>358</v>
      </c>
    </row>
    <row r="168" spans="1:3" x14ac:dyDescent="0.2">
      <c r="A168" s="27" t="s">
        <v>211</v>
      </c>
      <c r="B168" s="27" t="s">
        <v>215</v>
      </c>
      <c r="C168" s="28" t="s">
        <v>358</v>
      </c>
    </row>
    <row r="169" spans="1:3" x14ac:dyDescent="0.2">
      <c r="A169" s="27" t="s">
        <v>208</v>
      </c>
      <c r="B169" s="27" t="s">
        <v>214</v>
      </c>
      <c r="C169" s="28" t="s">
        <v>358</v>
      </c>
    </row>
    <row r="170" spans="1:3" x14ac:dyDescent="0.2">
      <c r="A170" s="27" t="s">
        <v>213</v>
      </c>
      <c r="B170" s="27" t="s">
        <v>212</v>
      </c>
      <c r="C170" s="28" t="s">
        <v>358</v>
      </c>
    </row>
    <row r="171" spans="1:3" x14ac:dyDescent="0.2">
      <c r="A171" s="31" t="s">
        <v>359</v>
      </c>
      <c r="B171" s="27"/>
      <c r="C171" s="28" t="s">
        <v>8</v>
      </c>
    </row>
    <row r="172" spans="1:3" x14ac:dyDescent="0.2">
      <c r="A172" s="31" t="s">
        <v>360</v>
      </c>
      <c r="B172" s="27"/>
      <c r="C172" s="28" t="s">
        <v>8</v>
      </c>
    </row>
    <row r="173" spans="1:3" x14ac:dyDescent="0.2">
      <c r="A173" s="31" t="s">
        <v>361</v>
      </c>
      <c r="B173" s="27"/>
      <c r="C173" s="28" t="s">
        <v>8</v>
      </c>
    </row>
    <row r="174" spans="1:3" x14ac:dyDescent="0.2">
      <c r="A174" s="31" t="s">
        <v>362</v>
      </c>
      <c r="B174" s="27"/>
      <c r="C174" s="28" t="s">
        <v>8</v>
      </c>
    </row>
    <row r="175" spans="1:3" x14ac:dyDescent="0.2">
      <c r="A175" s="31" t="s">
        <v>363</v>
      </c>
      <c r="B175" s="27"/>
      <c r="C175" s="28" t="s">
        <v>8</v>
      </c>
    </row>
    <row r="176" spans="1:3" x14ac:dyDescent="0.2">
      <c r="A176" s="31" t="s">
        <v>364</v>
      </c>
      <c r="B176" s="27"/>
      <c r="C176" s="28" t="s">
        <v>8</v>
      </c>
    </row>
    <row r="177" spans="1:3" x14ac:dyDescent="0.2">
      <c r="A177" s="31" t="s">
        <v>365</v>
      </c>
      <c r="B177" s="27"/>
      <c r="C177" s="28" t="s">
        <v>8</v>
      </c>
    </row>
    <row r="178" spans="1:3" x14ac:dyDescent="0.2">
      <c r="A178" s="31" t="s">
        <v>184</v>
      </c>
      <c r="B178" s="27"/>
      <c r="C178" s="28" t="s">
        <v>8</v>
      </c>
    </row>
    <row r="179" spans="1:3" x14ac:dyDescent="0.2">
      <c r="A179" s="31" t="s">
        <v>366</v>
      </c>
      <c r="B179" s="27"/>
      <c r="C179" s="28" t="s">
        <v>8</v>
      </c>
    </row>
    <row r="180" spans="1:3" x14ac:dyDescent="0.2">
      <c r="A180" s="31" t="s">
        <v>367</v>
      </c>
      <c r="B180" s="27"/>
      <c r="C180" s="28" t="s">
        <v>8</v>
      </c>
    </row>
    <row r="181" spans="1:3" x14ac:dyDescent="0.2">
      <c r="A181" s="31" t="s">
        <v>368</v>
      </c>
      <c r="B181" s="27"/>
      <c r="C181" s="28" t="s">
        <v>8</v>
      </c>
    </row>
    <row r="182" spans="1:3" x14ac:dyDescent="0.2">
      <c r="A182" s="31" t="s">
        <v>369</v>
      </c>
      <c r="B182" s="27"/>
      <c r="C182" s="28" t="s">
        <v>8</v>
      </c>
    </row>
    <row r="183" spans="1:3" x14ac:dyDescent="0.2">
      <c r="A183" s="31" t="s">
        <v>370</v>
      </c>
      <c r="B183" s="27"/>
      <c r="C183" s="28" t="s">
        <v>8</v>
      </c>
    </row>
    <row r="184" spans="1:3" x14ac:dyDescent="0.2">
      <c r="A184" s="31" t="s">
        <v>371</v>
      </c>
      <c r="B184" s="27"/>
      <c r="C184" s="28" t="s">
        <v>8</v>
      </c>
    </row>
    <row r="185" spans="1:3" x14ac:dyDescent="0.2">
      <c r="A185" s="31" t="s">
        <v>372</v>
      </c>
      <c r="B185" s="27"/>
      <c r="C185" s="28" t="s">
        <v>8</v>
      </c>
    </row>
    <row r="186" spans="1:3" x14ac:dyDescent="0.2">
      <c r="A186" s="31" t="s">
        <v>373</v>
      </c>
      <c r="B186" s="27"/>
      <c r="C186" s="28" t="s">
        <v>8</v>
      </c>
    </row>
    <row r="187" spans="1:3" x14ac:dyDescent="0.2">
      <c r="A187" s="31" t="s">
        <v>374</v>
      </c>
      <c r="B187" s="27"/>
      <c r="C187" s="28" t="s">
        <v>8</v>
      </c>
    </row>
    <row r="188" spans="1:3" x14ac:dyDescent="0.2">
      <c r="A188" s="31" t="s">
        <v>375</v>
      </c>
      <c r="B188" s="27"/>
      <c r="C188" s="28" t="s">
        <v>8</v>
      </c>
    </row>
    <row r="189" spans="1:3" x14ac:dyDescent="0.2">
      <c r="A189" s="31" t="s">
        <v>376</v>
      </c>
      <c r="B189" s="27"/>
      <c r="C189" s="28" t="s">
        <v>8</v>
      </c>
    </row>
    <row r="190" spans="1:3" x14ac:dyDescent="0.2">
      <c r="A190" s="31" t="s">
        <v>377</v>
      </c>
      <c r="B190" s="27"/>
      <c r="C190" s="28" t="s">
        <v>8</v>
      </c>
    </row>
    <row r="191" spans="1:3" x14ac:dyDescent="0.2">
      <c r="A191" s="31" t="s">
        <v>378</v>
      </c>
      <c r="B191" s="27"/>
      <c r="C191" s="28" t="s">
        <v>8</v>
      </c>
    </row>
    <row r="192" spans="1:3" x14ac:dyDescent="0.2">
      <c r="A192" s="31" t="s">
        <v>379</v>
      </c>
      <c r="B192" s="27"/>
      <c r="C192" s="28" t="s">
        <v>8</v>
      </c>
    </row>
    <row r="193" spans="1:3" x14ac:dyDescent="0.2">
      <c r="A193" s="31" t="s">
        <v>380</v>
      </c>
      <c r="B193" s="27"/>
      <c r="C193" s="28" t="s">
        <v>8</v>
      </c>
    </row>
    <row r="194" spans="1:3" x14ac:dyDescent="0.2">
      <c r="A194" s="31" t="s">
        <v>381</v>
      </c>
      <c r="B194" s="27"/>
      <c r="C194" s="28" t="s">
        <v>8</v>
      </c>
    </row>
    <row r="195" spans="1:3" x14ac:dyDescent="0.2">
      <c r="A195" s="31" t="s">
        <v>382</v>
      </c>
      <c r="B195" s="27"/>
      <c r="C195" s="28" t="s">
        <v>8</v>
      </c>
    </row>
    <row r="196" spans="1:3" x14ac:dyDescent="0.2">
      <c r="A196" s="31" t="s">
        <v>383</v>
      </c>
      <c r="B196" s="27"/>
      <c r="C196" s="28" t="s">
        <v>8</v>
      </c>
    </row>
    <row r="197" spans="1:3" x14ac:dyDescent="0.2">
      <c r="A197" s="31" t="s">
        <v>384</v>
      </c>
      <c r="B197" s="27"/>
      <c r="C197" s="28" t="s">
        <v>8</v>
      </c>
    </row>
    <row r="198" spans="1:3" x14ac:dyDescent="0.2">
      <c r="A198" s="31" t="s">
        <v>385</v>
      </c>
      <c r="B198" s="27"/>
      <c r="C198" s="28" t="s">
        <v>8</v>
      </c>
    </row>
    <row r="199" spans="1:3" x14ac:dyDescent="0.2">
      <c r="A199" s="31" t="s">
        <v>386</v>
      </c>
      <c r="B199" s="27"/>
      <c r="C199" s="28" t="s">
        <v>8</v>
      </c>
    </row>
    <row r="200" spans="1:3" x14ac:dyDescent="0.2">
      <c r="A200" s="31" t="s">
        <v>387</v>
      </c>
      <c r="B200" s="27"/>
      <c r="C200" s="28" t="s">
        <v>8</v>
      </c>
    </row>
    <row r="201" spans="1:3" x14ac:dyDescent="0.2">
      <c r="A201" s="31" t="s">
        <v>388</v>
      </c>
      <c r="B201" s="27"/>
      <c r="C201" s="28" t="s">
        <v>8</v>
      </c>
    </row>
    <row r="202" spans="1:3" x14ac:dyDescent="0.2">
      <c r="A202" s="31" t="s">
        <v>389</v>
      </c>
      <c r="B202" s="27"/>
      <c r="C202" s="28" t="s">
        <v>8</v>
      </c>
    </row>
    <row r="203" spans="1:3" x14ac:dyDescent="0.2">
      <c r="A203" s="31" t="s">
        <v>390</v>
      </c>
      <c r="B203" s="27"/>
      <c r="C203" s="28" t="s">
        <v>8</v>
      </c>
    </row>
    <row r="204" spans="1:3" x14ac:dyDescent="0.2">
      <c r="A204" s="31" t="s">
        <v>391</v>
      </c>
      <c r="B204" s="27"/>
      <c r="C204" s="28" t="s">
        <v>8</v>
      </c>
    </row>
    <row r="205" spans="1:3" x14ac:dyDescent="0.2">
      <c r="A205" s="31" t="s">
        <v>392</v>
      </c>
      <c r="B205" s="27"/>
      <c r="C205" s="28" t="s">
        <v>8</v>
      </c>
    </row>
    <row r="206" spans="1:3" x14ac:dyDescent="0.2">
      <c r="A206" s="31" t="s">
        <v>393</v>
      </c>
      <c r="B206" s="27"/>
      <c r="C206" s="28" t="s">
        <v>8</v>
      </c>
    </row>
    <row r="207" spans="1:3" x14ac:dyDescent="0.2">
      <c r="A207" s="31" t="s">
        <v>394</v>
      </c>
      <c r="B207" s="27"/>
      <c r="C207" s="28" t="s">
        <v>8</v>
      </c>
    </row>
    <row r="208" spans="1:3" x14ac:dyDescent="0.2">
      <c r="A208" s="31" t="s">
        <v>395</v>
      </c>
      <c r="B208" s="27"/>
      <c r="C208" s="28" t="s">
        <v>8</v>
      </c>
    </row>
    <row r="209" spans="1:3" x14ac:dyDescent="0.2">
      <c r="A209" s="31" t="s">
        <v>396</v>
      </c>
      <c r="B209" s="27"/>
      <c r="C209" s="28" t="s">
        <v>8</v>
      </c>
    </row>
    <row r="210" spans="1:3" x14ac:dyDescent="0.2">
      <c r="A210" s="31" t="s">
        <v>397</v>
      </c>
      <c r="B210" s="27"/>
      <c r="C210" s="28" t="s">
        <v>8</v>
      </c>
    </row>
    <row r="211" spans="1:3" x14ac:dyDescent="0.2">
      <c r="A211" s="31" t="s">
        <v>398</v>
      </c>
      <c r="B211" s="27"/>
      <c r="C211" s="28" t="s">
        <v>8</v>
      </c>
    </row>
    <row r="212" spans="1:3" x14ac:dyDescent="0.2">
      <c r="A212" s="31" t="s">
        <v>399</v>
      </c>
      <c r="B212" s="27"/>
      <c r="C212" s="28" t="s">
        <v>8</v>
      </c>
    </row>
    <row r="213" spans="1:3" x14ac:dyDescent="0.2">
      <c r="A213" s="31" t="s">
        <v>400</v>
      </c>
      <c r="B213" s="27"/>
      <c r="C213" s="28" t="s">
        <v>8</v>
      </c>
    </row>
    <row r="214" spans="1:3" x14ac:dyDescent="0.2">
      <c r="A214" s="31" t="s">
        <v>401</v>
      </c>
      <c r="B214" s="27"/>
      <c r="C214" s="28" t="s">
        <v>8</v>
      </c>
    </row>
    <row r="215" spans="1:3" x14ac:dyDescent="0.2">
      <c r="A215" s="31" t="s">
        <v>402</v>
      </c>
      <c r="B215" s="27"/>
      <c r="C215" s="28" t="s">
        <v>8</v>
      </c>
    </row>
    <row r="216" spans="1:3" x14ac:dyDescent="0.2">
      <c r="A216" s="31" t="s">
        <v>403</v>
      </c>
      <c r="B216" s="27"/>
      <c r="C216" s="28" t="s">
        <v>8</v>
      </c>
    </row>
    <row r="217" spans="1:3" x14ac:dyDescent="0.2">
      <c r="A217" s="31" t="s">
        <v>404</v>
      </c>
      <c r="B217" s="27"/>
      <c r="C217" s="28" t="s">
        <v>8</v>
      </c>
    </row>
    <row r="218" spans="1:3" x14ac:dyDescent="0.2">
      <c r="A218" s="31" t="s">
        <v>405</v>
      </c>
      <c r="B218" s="27"/>
      <c r="C218" s="28" t="s">
        <v>8</v>
      </c>
    </row>
    <row r="219" spans="1:3" x14ac:dyDescent="0.2">
      <c r="A219" s="31" t="s">
        <v>406</v>
      </c>
      <c r="B219" s="27"/>
      <c r="C219" s="28" t="s">
        <v>8</v>
      </c>
    </row>
    <row r="220" spans="1:3" x14ac:dyDescent="0.2">
      <c r="A220" s="31" t="s">
        <v>407</v>
      </c>
      <c r="B220" s="27"/>
      <c r="C220" s="28" t="s">
        <v>8</v>
      </c>
    </row>
    <row r="221" spans="1:3" x14ac:dyDescent="0.2">
      <c r="A221" s="31" t="s">
        <v>190</v>
      </c>
      <c r="B221" s="27"/>
      <c r="C221" s="28" t="s">
        <v>8</v>
      </c>
    </row>
    <row r="222" spans="1:3" x14ac:dyDescent="0.2">
      <c r="A222" s="31" t="s">
        <v>408</v>
      </c>
      <c r="B222" s="27"/>
      <c r="C222" s="28" t="s">
        <v>8</v>
      </c>
    </row>
    <row r="223" spans="1:3" x14ac:dyDescent="0.2">
      <c r="A223" s="31" t="s">
        <v>409</v>
      </c>
      <c r="B223" s="27"/>
      <c r="C223" s="28" t="s">
        <v>8</v>
      </c>
    </row>
    <row r="224" spans="1:3" x14ac:dyDescent="0.2">
      <c r="A224" s="31" t="s">
        <v>410</v>
      </c>
      <c r="B224" s="27"/>
      <c r="C224" s="28" t="s">
        <v>8</v>
      </c>
    </row>
    <row r="225" spans="1:3" x14ac:dyDescent="0.2">
      <c r="A225" s="31" t="s">
        <v>411</v>
      </c>
      <c r="B225" s="27"/>
      <c r="C225" s="28" t="s">
        <v>8</v>
      </c>
    </row>
    <row r="226" spans="1:3" x14ac:dyDescent="0.2">
      <c r="A226" s="31" t="s">
        <v>412</v>
      </c>
      <c r="B226" s="27"/>
      <c r="C226" s="28" t="s">
        <v>8</v>
      </c>
    </row>
    <row r="227" spans="1:3" x14ac:dyDescent="0.2">
      <c r="A227" s="31" t="s">
        <v>413</v>
      </c>
      <c r="B227" s="27"/>
      <c r="C227" s="28" t="s">
        <v>8</v>
      </c>
    </row>
    <row r="228" spans="1:3" x14ac:dyDescent="0.2">
      <c r="A228" s="31" t="s">
        <v>414</v>
      </c>
      <c r="B228" s="27"/>
      <c r="C228" s="28" t="s">
        <v>8</v>
      </c>
    </row>
    <row r="229" spans="1:3" x14ac:dyDescent="0.2">
      <c r="A229" s="31" t="s">
        <v>415</v>
      </c>
      <c r="B229" s="27"/>
      <c r="C229" s="28" t="s">
        <v>8</v>
      </c>
    </row>
    <row r="230" spans="1:3" x14ac:dyDescent="0.2">
      <c r="A230" s="31" t="s">
        <v>416</v>
      </c>
      <c r="B230" s="27"/>
      <c r="C230" s="28" t="s">
        <v>8</v>
      </c>
    </row>
    <row r="231" spans="1:3" x14ac:dyDescent="0.2">
      <c r="A231" s="31" t="s">
        <v>417</v>
      </c>
      <c r="B231" s="27"/>
      <c r="C231" s="28" t="s">
        <v>8</v>
      </c>
    </row>
    <row r="232" spans="1:3" x14ac:dyDescent="0.2">
      <c r="A232" s="31" t="s">
        <v>195</v>
      </c>
      <c r="B232" s="27"/>
      <c r="C232" s="28" t="s">
        <v>8</v>
      </c>
    </row>
    <row r="233" spans="1:3" x14ac:dyDescent="0.2">
      <c r="A233" s="31" t="s">
        <v>418</v>
      </c>
      <c r="B233" s="27"/>
      <c r="C233" s="28" t="s">
        <v>8</v>
      </c>
    </row>
    <row r="234" spans="1:3" x14ac:dyDescent="0.2">
      <c r="A234" s="31" t="s">
        <v>419</v>
      </c>
      <c r="B234" s="27"/>
      <c r="C234" s="28" t="s">
        <v>8</v>
      </c>
    </row>
    <row r="235" spans="1:3" x14ac:dyDescent="0.2">
      <c r="A235" s="31" t="s">
        <v>420</v>
      </c>
      <c r="B235" s="27"/>
      <c r="C235" s="28" t="s">
        <v>8</v>
      </c>
    </row>
    <row r="236" spans="1:3" x14ac:dyDescent="0.2">
      <c r="A236" s="31" t="s">
        <v>421</v>
      </c>
      <c r="B236" s="27"/>
      <c r="C236" s="28" t="s">
        <v>8</v>
      </c>
    </row>
    <row r="237" spans="1:3" x14ac:dyDescent="0.2">
      <c r="A237" s="31" t="s">
        <v>422</v>
      </c>
      <c r="B237" s="27"/>
      <c r="C237" s="28" t="s">
        <v>8</v>
      </c>
    </row>
    <row r="238" spans="1:3" x14ac:dyDescent="0.2">
      <c r="A238" s="31" t="s">
        <v>423</v>
      </c>
      <c r="B238" s="27"/>
      <c r="C238" s="28" t="s">
        <v>8</v>
      </c>
    </row>
    <row r="239" spans="1:3" x14ac:dyDescent="0.2">
      <c r="A239" s="31" t="s">
        <v>424</v>
      </c>
      <c r="B239" s="27"/>
      <c r="C239" s="28" t="s">
        <v>8</v>
      </c>
    </row>
    <row r="240" spans="1:3" x14ac:dyDescent="0.2">
      <c r="A240" s="31" t="s">
        <v>425</v>
      </c>
      <c r="B240" s="27"/>
      <c r="C240" s="28" t="s">
        <v>8</v>
      </c>
    </row>
    <row r="241" spans="1:3" x14ac:dyDescent="0.2">
      <c r="A241" s="31" t="s">
        <v>426</v>
      </c>
      <c r="B241" s="27"/>
      <c r="C241" s="28" t="s">
        <v>8</v>
      </c>
    </row>
    <row r="242" spans="1:3" x14ac:dyDescent="0.2">
      <c r="A242" s="31" t="s">
        <v>427</v>
      </c>
      <c r="B242" s="27"/>
      <c r="C242" s="28" t="s">
        <v>8</v>
      </c>
    </row>
    <row r="243" spans="1:3" x14ac:dyDescent="0.2">
      <c r="A243" s="31" t="s">
        <v>428</v>
      </c>
      <c r="B243" s="27"/>
      <c r="C243" s="28" t="s">
        <v>8</v>
      </c>
    </row>
    <row r="244" spans="1:3" x14ac:dyDescent="0.2">
      <c r="A244" s="31" t="s">
        <v>429</v>
      </c>
      <c r="B244" s="27"/>
      <c r="C244" s="28" t="s">
        <v>8</v>
      </c>
    </row>
    <row r="245" spans="1:3" x14ac:dyDescent="0.2">
      <c r="A245" s="31" t="s">
        <v>430</v>
      </c>
      <c r="B245" s="27"/>
      <c r="C245" s="28" t="s">
        <v>8</v>
      </c>
    </row>
    <row r="246" spans="1:3" x14ac:dyDescent="0.2">
      <c r="A246" s="31" t="s">
        <v>431</v>
      </c>
      <c r="B246" s="27"/>
      <c r="C246" s="28" t="s">
        <v>8</v>
      </c>
    </row>
    <row r="247" spans="1:3" x14ac:dyDescent="0.2">
      <c r="A247" s="31" t="s">
        <v>432</v>
      </c>
      <c r="B247" s="27"/>
      <c r="C247" s="28" t="s">
        <v>8</v>
      </c>
    </row>
    <row r="248" spans="1:3" x14ac:dyDescent="0.2">
      <c r="A248" s="31" t="s">
        <v>433</v>
      </c>
      <c r="B248" s="27"/>
      <c r="C248" s="28" t="s">
        <v>8</v>
      </c>
    </row>
    <row r="249" spans="1:3" x14ac:dyDescent="0.2">
      <c r="A249" s="31" t="s">
        <v>434</v>
      </c>
      <c r="B249" s="27"/>
      <c r="C249" s="28" t="s">
        <v>8</v>
      </c>
    </row>
    <row r="250" spans="1:3" x14ac:dyDescent="0.2">
      <c r="A250" s="31" t="s">
        <v>435</v>
      </c>
      <c r="B250" s="27"/>
      <c r="C250" s="28" t="s">
        <v>8</v>
      </c>
    </row>
    <row r="251" spans="1:3" x14ac:dyDescent="0.2">
      <c r="A251" s="31" t="s">
        <v>436</v>
      </c>
      <c r="B251" s="27"/>
      <c r="C251" s="28" t="s">
        <v>8</v>
      </c>
    </row>
    <row r="252" spans="1:3" x14ac:dyDescent="0.2">
      <c r="A252" s="31" t="s">
        <v>437</v>
      </c>
      <c r="B252" s="27"/>
      <c r="C252" s="28" t="s">
        <v>8</v>
      </c>
    </row>
    <row r="253" spans="1:3" x14ac:dyDescent="0.2">
      <c r="A253" s="31" t="s">
        <v>438</v>
      </c>
      <c r="B253" s="27"/>
      <c r="C253" s="28" t="s">
        <v>8</v>
      </c>
    </row>
    <row r="254" spans="1:3" x14ac:dyDescent="0.2">
      <c r="A254" s="31" t="s">
        <v>439</v>
      </c>
      <c r="B254" s="27"/>
      <c r="C254" s="28" t="s">
        <v>8</v>
      </c>
    </row>
    <row r="255" spans="1:3" x14ac:dyDescent="0.2">
      <c r="A255" s="31" t="s">
        <v>440</v>
      </c>
      <c r="B255" s="27"/>
      <c r="C255" s="28" t="s">
        <v>8</v>
      </c>
    </row>
    <row r="256" spans="1:3" x14ac:dyDescent="0.2">
      <c r="A256" s="31" t="s">
        <v>146</v>
      </c>
      <c r="B256" s="27"/>
      <c r="C256" s="28" t="s">
        <v>8</v>
      </c>
    </row>
    <row r="257" spans="1:3" x14ac:dyDescent="0.2">
      <c r="A257" s="31" t="s">
        <v>441</v>
      </c>
      <c r="B257" s="27"/>
      <c r="C257" s="28" t="s">
        <v>8</v>
      </c>
    </row>
    <row r="258" spans="1:3" x14ac:dyDescent="0.2">
      <c r="A258" s="31" t="s">
        <v>442</v>
      </c>
      <c r="B258" s="27"/>
      <c r="C258" s="28" t="s">
        <v>8</v>
      </c>
    </row>
    <row r="259" spans="1:3" x14ac:dyDescent="0.2">
      <c r="A259" s="31" t="s">
        <v>443</v>
      </c>
      <c r="B259" s="27"/>
      <c r="C259" s="28" t="s">
        <v>8</v>
      </c>
    </row>
    <row r="260" spans="1:3" x14ac:dyDescent="0.2">
      <c r="A260" s="31" t="s">
        <v>444</v>
      </c>
      <c r="B260" s="27"/>
      <c r="C260" s="28" t="s">
        <v>8</v>
      </c>
    </row>
    <row r="261" spans="1:3" x14ac:dyDescent="0.2">
      <c r="A261" s="31" t="s">
        <v>445</v>
      </c>
      <c r="B261" s="27"/>
      <c r="C261" s="28" t="s">
        <v>8</v>
      </c>
    </row>
    <row r="262" spans="1:3" x14ac:dyDescent="0.2">
      <c r="A262" s="31" t="s">
        <v>446</v>
      </c>
      <c r="B262" s="27"/>
      <c r="C262" s="28" t="s">
        <v>8</v>
      </c>
    </row>
    <row r="263" spans="1:3" x14ac:dyDescent="0.2">
      <c r="A263" s="31" t="s">
        <v>447</v>
      </c>
      <c r="B263" s="27"/>
      <c r="C263" s="28" t="s">
        <v>8</v>
      </c>
    </row>
    <row r="264" spans="1:3" x14ac:dyDescent="0.2">
      <c r="A264" s="31" t="s">
        <v>448</v>
      </c>
      <c r="B264" s="27"/>
      <c r="C264" s="28" t="s">
        <v>8</v>
      </c>
    </row>
    <row r="265" spans="1:3" x14ac:dyDescent="0.2">
      <c r="A265" s="31" t="s">
        <v>449</v>
      </c>
      <c r="B265" s="27"/>
      <c r="C265" s="28" t="s">
        <v>8</v>
      </c>
    </row>
    <row r="266" spans="1:3" x14ac:dyDescent="0.2">
      <c r="A266" s="31" t="s">
        <v>450</v>
      </c>
      <c r="B266" s="27"/>
      <c r="C266" s="28" t="s">
        <v>8</v>
      </c>
    </row>
    <row r="267" spans="1:3" x14ac:dyDescent="0.2">
      <c r="A267" s="31" t="s">
        <v>451</v>
      </c>
      <c r="B267" s="27"/>
      <c r="C267" s="28" t="s">
        <v>8</v>
      </c>
    </row>
    <row r="268" spans="1:3" x14ac:dyDescent="0.2">
      <c r="A268" s="31" t="s">
        <v>452</v>
      </c>
      <c r="B268" s="27"/>
      <c r="C268" s="28" t="s">
        <v>8</v>
      </c>
    </row>
    <row r="269" spans="1:3" x14ac:dyDescent="0.2">
      <c r="A269" s="31" t="s">
        <v>453</v>
      </c>
      <c r="B269" s="27"/>
      <c r="C269" s="28" t="s">
        <v>8</v>
      </c>
    </row>
    <row r="270" spans="1:3" x14ac:dyDescent="0.2">
      <c r="A270" s="31" t="s">
        <v>454</v>
      </c>
      <c r="B270" s="27"/>
      <c r="C270" s="28" t="s">
        <v>8</v>
      </c>
    </row>
    <row r="271" spans="1:3" x14ac:dyDescent="0.2">
      <c r="A271" s="31" t="s">
        <v>455</v>
      </c>
      <c r="B271" s="27"/>
      <c r="C271" s="28" t="s">
        <v>8</v>
      </c>
    </row>
    <row r="272" spans="1:3" x14ac:dyDescent="0.2">
      <c r="A272" s="31" t="s">
        <v>456</v>
      </c>
      <c r="B272" s="27"/>
      <c r="C272" s="28" t="s">
        <v>8</v>
      </c>
    </row>
    <row r="273" spans="1:3" x14ac:dyDescent="0.2">
      <c r="A273" s="31" t="s">
        <v>457</v>
      </c>
      <c r="B273" s="27"/>
      <c r="C273" s="28" t="s">
        <v>8</v>
      </c>
    </row>
    <row r="274" spans="1:3" x14ac:dyDescent="0.2">
      <c r="A274" s="31" t="s">
        <v>458</v>
      </c>
      <c r="B274" s="27"/>
      <c r="C274" s="28" t="s">
        <v>8</v>
      </c>
    </row>
    <row r="275" spans="1:3" x14ac:dyDescent="0.2">
      <c r="A275" s="31" t="s">
        <v>459</v>
      </c>
      <c r="B275" s="27"/>
      <c r="C275" s="28" t="s">
        <v>8</v>
      </c>
    </row>
    <row r="276" spans="1:3" x14ac:dyDescent="0.2">
      <c r="A276" s="31" t="s">
        <v>460</v>
      </c>
      <c r="B276" s="27"/>
      <c r="C276" s="28" t="s">
        <v>8</v>
      </c>
    </row>
    <row r="277" spans="1:3" x14ac:dyDescent="0.2">
      <c r="A277" s="31" t="s">
        <v>461</v>
      </c>
      <c r="B277" s="27"/>
      <c r="C277" s="28" t="s">
        <v>8</v>
      </c>
    </row>
    <row r="278" spans="1:3" x14ac:dyDescent="0.2">
      <c r="A278" s="31" t="s">
        <v>462</v>
      </c>
      <c r="B278" s="27"/>
      <c r="C278" s="28" t="s">
        <v>8</v>
      </c>
    </row>
    <row r="279" spans="1:3" x14ac:dyDescent="0.2">
      <c r="A279" s="31" t="s">
        <v>463</v>
      </c>
      <c r="B279" s="27"/>
      <c r="C279" s="28" t="s">
        <v>8</v>
      </c>
    </row>
    <row r="280" spans="1:3" x14ac:dyDescent="0.2">
      <c r="A280" s="31" t="s">
        <v>464</v>
      </c>
      <c r="B280" s="27"/>
      <c r="C280" s="28" t="s">
        <v>8</v>
      </c>
    </row>
    <row r="281" spans="1:3" x14ac:dyDescent="0.2">
      <c r="A281" s="31" t="s">
        <v>465</v>
      </c>
      <c r="B281" s="27"/>
      <c r="C281" s="28" t="s">
        <v>8</v>
      </c>
    </row>
    <row r="282" spans="1:3" x14ac:dyDescent="0.2">
      <c r="A282" s="31" t="s">
        <v>466</v>
      </c>
      <c r="B282" s="27"/>
      <c r="C282" s="28" t="s">
        <v>8</v>
      </c>
    </row>
    <row r="283" spans="1:3" x14ac:dyDescent="0.2">
      <c r="A283" s="31" t="s">
        <v>188</v>
      </c>
      <c r="B283" s="27"/>
      <c r="C283" s="28" t="s">
        <v>8</v>
      </c>
    </row>
    <row r="284" spans="1:3" x14ac:dyDescent="0.2">
      <c r="A284" s="31" t="s">
        <v>467</v>
      </c>
      <c r="B284" s="27"/>
      <c r="C284" s="28" t="s">
        <v>8</v>
      </c>
    </row>
    <row r="285" spans="1:3" x14ac:dyDescent="0.2">
      <c r="A285" s="31" t="s">
        <v>468</v>
      </c>
      <c r="B285" s="27"/>
      <c r="C285" s="28" t="s">
        <v>8</v>
      </c>
    </row>
    <row r="286" spans="1:3" x14ac:dyDescent="0.2">
      <c r="A286" s="31" t="s">
        <v>469</v>
      </c>
      <c r="B286" s="27"/>
      <c r="C286" s="28" t="s">
        <v>8</v>
      </c>
    </row>
    <row r="287" spans="1:3" x14ac:dyDescent="0.2">
      <c r="A287" s="31" t="s">
        <v>470</v>
      </c>
      <c r="B287" s="27"/>
      <c r="C287" s="28" t="s">
        <v>8</v>
      </c>
    </row>
    <row r="288" spans="1:3" x14ac:dyDescent="0.2">
      <c r="A288" s="31" t="s">
        <v>471</v>
      </c>
      <c r="B288" s="27"/>
      <c r="C288" s="28" t="s">
        <v>8</v>
      </c>
    </row>
    <row r="289" spans="1:3" x14ac:dyDescent="0.2">
      <c r="A289" s="31" t="s">
        <v>472</v>
      </c>
      <c r="B289" s="27"/>
      <c r="C289" s="28" t="s">
        <v>8</v>
      </c>
    </row>
    <row r="290" spans="1:3" x14ac:dyDescent="0.2">
      <c r="A290" s="31" t="s">
        <v>473</v>
      </c>
      <c r="B290" s="27"/>
      <c r="C290" s="28" t="s">
        <v>8</v>
      </c>
    </row>
    <row r="291" spans="1:3" x14ac:dyDescent="0.2">
      <c r="A291" s="31" t="s">
        <v>474</v>
      </c>
      <c r="B291" s="27"/>
      <c r="C291" s="28" t="s">
        <v>8</v>
      </c>
    </row>
    <row r="292" spans="1:3" x14ac:dyDescent="0.2">
      <c r="A292" s="31" t="s">
        <v>475</v>
      </c>
      <c r="B292" s="27"/>
      <c r="C292" s="28" t="s">
        <v>8</v>
      </c>
    </row>
    <row r="293" spans="1:3" x14ac:dyDescent="0.2">
      <c r="A293" s="31" t="s">
        <v>476</v>
      </c>
      <c r="B293" s="27"/>
      <c r="C293" s="28" t="s">
        <v>8</v>
      </c>
    </row>
    <row r="294" spans="1:3" x14ac:dyDescent="0.2">
      <c r="A294" s="31" t="s">
        <v>477</v>
      </c>
      <c r="B294" s="27"/>
      <c r="C294" s="28" t="s">
        <v>8</v>
      </c>
    </row>
    <row r="295" spans="1:3" x14ac:dyDescent="0.2">
      <c r="A295" s="31" t="s">
        <v>478</v>
      </c>
      <c r="B295" s="27"/>
      <c r="C295" s="28" t="s">
        <v>8</v>
      </c>
    </row>
    <row r="296" spans="1:3" x14ac:dyDescent="0.2">
      <c r="A296" s="31" t="s">
        <v>479</v>
      </c>
      <c r="B296" s="27"/>
      <c r="C296" s="28" t="s">
        <v>8</v>
      </c>
    </row>
    <row r="297" spans="1:3" x14ac:dyDescent="0.2">
      <c r="A297" s="31" t="s">
        <v>480</v>
      </c>
      <c r="B297" s="27"/>
      <c r="C297" s="28" t="s">
        <v>8</v>
      </c>
    </row>
    <row r="298" spans="1:3" x14ac:dyDescent="0.2">
      <c r="A298" s="31" t="s">
        <v>481</v>
      </c>
      <c r="B298" s="27"/>
      <c r="C298" s="28" t="s">
        <v>8</v>
      </c>
    </row>
    <row r="299" spans="1:3" x14ac:dyDescent="0.2">
      <c r="A299" s="31" t="s">
        <v>482</v>
      </c>
      <c r="B299" s="27"/>
      <c r="C299" s="28" t="s">
        <v>8</v>
      </c>
    </row>
    <row r="300" spans="1:3" x14ac:dyDescent="0.2">
      <c r="A300" s="31" t="s">
        <v>483</v>
      </c>
      <c r="B300" s="27"/>
      <c r="C300" s="28" t="s">
        <v>8</v>
      </c>
    </row>
    <row r="301" spans="1:3" x14ac:dyDescent="0.2">
      <c r="A301" s="31" t="s">
        <v>484</v>
      </c>
      <c r="B301" s="27"/>
      <c r="C301" s="28" t="s">
        <v>8</v>
      </c>
    </row>
    <row r="302" spans="1:3" x14ac:dyDescent="0.2">
      <c r="A302" s="31" t="s">
        <v>485</v>
      </c>
      <c r="B302" s="27"/>
      <c r="C302" s="28" t="s">
        <v>8</v>
      </c>
    </row>
    <row r="303" spans="1:3" x14ac:dyDescent="0.2">
      <c r="A303" s="31" t="s">
        <v>486</v>
      </c>
      <c r="B303" s="27"/>
      <c r="C303" s="28" t="s">
        <v>8</v>
      </c>
    </row>
    <row r="304" spans="1:3" x14ac:dyDescent="0.2">
      <c r="A304" s="31" t="s">
        <v>487</v>
      </c>
      <c r="B304" s="27"/>
      <c r="C304" s="28" t="s">
        <v>8</v>
      </c>
    </row>
    <row r="305" spans="1:3" x14ac:dyDescent="0.2">
      <c r="A305" s="31" t="s">
        <v>488</v>
      </c>
      <c r="B305" s="27"/>
      <c r="C305" s="28" t="s">
        <v>8</v>
      </c>
    </row>
    <row r="306" spans="1:3" x14ac:dyDescent="0.2">
      <c r="A306" s="31" t="s">
        <v>489</v>
      </c>
      <c r="B306" s="27"/>
      <c r="C306" s="28" t="s">
        <v>8</v>
      </c>
    </row>
    <row r="307" spans="1:3" x14ac:dyDescent="0.2">
      <c r="A307" s="31" t="s">
        <v>490</v>
      </c>
      <c r="B307" s="27"/>
      <c r="C307" s="28" t="s">
        <v>8</v>
      </c>
    </row>
    <row r="308" spans="1:3" x14ac:dyDescent="0.2">
      <c r="A308" s="31" t="s">
        <v>491</v>
      </c>
      <c r="B308" s="27"/>
      <c r="C308" s="28" t="s">
        <v>8</v>
      </c>
    </row>
    <row r="309" spans="1:3" x14ac:dyDescent="0.2">
      <c r="A309" s="31" t="s">
        <v>492</v>
      </c>
      <c r="B309" s="27"/>
      <c r="C309" s="28" t="s">
        <v>8</v>
      </c>
    </row>
    <row r="310" spans="1:3" x14ac:dyDescent="0.2">
      <c r="A310" s="31" t="s">
        <v>142</v>
      </c>
      <c r="B310" s="27"/>
      <c r="C310" s="28" t="s">
        <v>8</v>
      </c>
    </row>
    <row r="311" spans="1:3" x14ac:dyDescent="0.2">
      <c r="A311" s="31" t="s">
        <v>493</v>
      </c>
      <c r="B311" s="27"/>
      <c r="C311" s="28" t="s">
        <v>8</v>
      </c>
    </row>
    <row r="312" spans="1:3" x14ac:dyDescent="0.2">
      <c r="A312" s="31" t="s">
        <v>494</v>
      </c>
      <c r="B312" s="27"/>
      <c r="C312" s="28" t="s">
        <v>8</v>
      </c>
    </row>
    <row r="313" spans="1:3" x14ac:dyDescent="0.2">
      <c r="A313" s="31" t="s">
        <v>495</v>
      </c>
      <c r="B313" s="27"/>
      <c r="C313" s="28" t="s">
        <v>8</v>
      </c>
    </row>
    <row r="314" spans="1:3" x14ac:dyDescent="0.2">
      <c r="A314" s="31" t="s">
        <v>496</v>
      </c>
      <c r="B314" s="27"/>
      <c r="C314" s="28" t="s">
        <v>8</v>
      </c>
    </row>
    <row r="315" spans="1:3" x14ac:dyDescent="0.2">
      <c r="A315" s="31" t="s">
        <v>497</v>
      </c>
      <c r="B315" s="27"/>
      <c r="C315" s="28" t="s">
        <v>8</v>
      </c>
    </row>
    <row r="316" spans="1:3" x14ac:dyDescent="0.2">
      <c r="A316" s="31" t="s">
        <v>498</v>
      </c>
      <c r="B316" s="27"/>
      <c r="C316" s="28" t="s">
        <v>8</v>
      </c>
    </row>
    <row r="317" spans="1:3" x14ac:dyDescent="0.2">
      <c r="A317" s="31" t="s">
        <v>499</v>
      </c>
      <c r="B317" s="27"/>
      <c r="C317" s="28" t="s">
        <v>8</v>
      </c>
    </row>
    <row r="318" spans="1:3" x14ac:dyDescent="0.2">
      <c r="A318" s="31" t="s">
        <v>500</v>
      </c>
      <c r="B318" s="27"/>
      <c r="C318" s="28" t="s">
        <v>8</v>
      </c>
    </row>
    <row r="319" spans="1:3" x14ac:dyDescent="0.2">
      <c r="A319" s="31" t="s">
        <v>501</v>
      </c>
      <c r="B319" s="27"/>
      <c r="C319" s="28" t="s">
        <v>8</v>
      </c>
    </row>
    <row r="320" spans="1:3" x14ac:dyDescent="0.2">
      <c r="A320" s="31" t="s">
        <v>502</v>
      </c>
      <c r="B320" s="27"/>
      <c r="C320" s="28" t="s">
        <v>8</v>
      </c>
    </row>
    <row r="321" spans="1:3" x14ac:dyDescent="0.2">
      <c r="A321" s="31" t="s">
        <v>503</v>
      </c>
      <c r="B321" s="27"/>
      <c r="C321" s="28" t="s">
        <v>8</v>
      </c>
    </row>
    <row r="322" spans="1:3" x14ac:dyDescent="0.2">
      <c r="A322" s="31" t="s">
        <v>504</v>
      </c>
      <c r="B322" s="27"/>
      <c r="C322" s="28" t="s">
        <v>8</v>
      </c>
    </row>
    <row r="323" spans="1:3" x14ac:dyDescent="0.2">
      <c r="A323" s="31" t="s">
        <v>505</v>
      </c>
      <c r="B323" s="27"/>
      <c r="C323" s="28" t="s">
        <v>8</v>
      </c>
    </row>
    <row r="324" spans="1:3" x14ac:dyDescent="0.2">
      <c r="A324" s="31" t="s">
        <v>506</v>
      </c>
      <c r="B324" s="27"/>
      <c r="C324" s="28" t="s">
        <v>8</v>
      </c>
    </row>
    <row r="325" spans="1:3" x14ac:dyDescent="0.2">
      <c r="A325" s="31" t="s">
        <v>187</v>
      </c>
      <c r="B325" s="27"/>
      <c r="C325" s="28" t="s">
        <v>8</v>
      </c>
    </row>
    <row r="326" spans="1:3" x14ac:dyDescent="0.2">
      <c r="A326" s="31" t="s">
        <v>141</v>
      </c>
      <c r="B326" s="27"/>
      <c r="C326" s="28" t="s">
        <v>8</v>
      </c>
    </row>
    <row r="327" spans="1:3" x14ac:dyDescent="0.2">
      <c r="A327" s="31" t="s">
        <v>507</v>
      </c>
      <c r="B327" s="27"/>
      <c r="C327" s="28" t="s">
        <v>8</v>
      </c>
    </row>
    <row r="328" spans="1:3" x14ac:dyDescent="0.2">
      <c r="A328" s="31" t="s">
        <v>508</v>
      </c>
      <c r="B328" s="27"/>
      <c r="C328" s="28" t="s">
        <v>8</v>
      </c>
    </row>
    <row r="329" spans="1:3" x14ac:dyDescent="0.2">
      <c r="A329" s="31" t="s">
        <v>509</v>
      </c>
      <c r="B329" s="27"/>
      <c r="C329" s="28" t="s">
        <v>8</v>
      </c>
    </row>
    <row r="330" spans="1:3" x14ac:dyDescent="0.2">
      <c r="A330" s="31" t="s">
        <v>510</v>
      </c>
      <c r="B330" s="27"/>
      <c r="C330" s="28" t="s">
        <v>8</v>
      </c>
    </row>
    <row r="331" spans="1:3" x14ac:dyDescent="0.2">
      <c r="A331" s="31" t="s">
        <v>511</v>
      </c>
      <c r="B331" s="27"/>
      <c r="C331" s="28" t="s">
        <v>8</v>
      </c>
    </row>
    <row r="332" spans="1:3" x14ac:dyDescent="0.2">
      <c r="A332" s="31" t="s">
        <v>512</v>
      </c>
      <c r="B332" s="27"/>
      <c r="C332" s="28" t="s">
        <v>8</v>
      </c>
    </row>
    <row r="333" spans="1:3" x14ac:dyDescent="0.2">
      <c r="A333" s="31" t="s">
        <v>513</v>
      </c>
      <c r="B333" s="27"/>
      <c r="C333" s="28" t="s">
        <v>8</v>
      </c>
    </row>
    <row r="334" spans="1:3" x14ac:dyDescent="0.2">
      <c r="A334" s="31" t="s">
        <v>514</v>
      </c>
      <c r="B334" s="27"/>
      <c r="C334" s="28" t="s">
        <v>8</v>
      </c>
    </row>
    <row r="335" spans="1:3" x14ac:dyDescent="0.2">
      <c r="A335" s="31" t="s">
        <v>515</v>
      </c>
      <c r="B335" s="27"/>
      <c r="C335" s="28" t="s">
        <v>8</v>
      </c>
    </row>
    <row r="336" spans="1:3" x14ac:dyDescent="0.2">
      <c r="A336" s="31" t="s">
        <v>126</v>
      </c>
      <c r="B336" s="27"/>
      <c r="C336" s="28" t="s">
        <v>8</v>
      </c>
    </row>
    <row r="337" spans="1:3" x14ac:dyDescent="0.2">
      <c r="A337" s="31" t="s">
        <v>516</v>
      </c>
      <c r="B337" s="27"/>
      <c r="C337" s="28" t="s">
        <v>8</v>
      </c>
    </row>
    <row r="338" spans="1:3" x14ac:dyDescent="0.2">
      <c r="A338" s="31" t="s">
        <v>517</v>
      </c>
      <c r="B338" s="27"/>
      <c r="C338" s="28" t="s">
        <v>8</v>
      </c>
    </row>
    <row r="339" spans="1:3" x14ac:dyDescent="0.2">
      <c r="A339" s="31" t="s">
        <v>518</v>
      </c>
      <c r="B339" s="27"/>
      <c r="C339" s="28" t="s">
        <v>8</v>
      </c>
    </row>
    <row r="340" spans="1:3" x14ac:dyDescent="0.2">
      <c r="A340" s="31" t="s">
        <v>519</v>
      </c>
      <c r="B340" s="27"/>
      <c r="C340" s="28" t="s">
        <v>8</v>
      </c>
    </row>
    <row r="341" spans="1:3" x14ac:dyDescent="0.2">
      <c r="A341" s="31" t="s">
        <v>520</v>
      </c>
      <c r="B341" s="27"/>
      <c r="C341" s="28" t="s">
        <v>8</v>
      </c>
    </row>
    <row r="342" spans="1:3" x14ac:dyDescent="0.2">
      <c r="A342" s="31" t="s">
        <v>521</v>
      </c>
      <c r="B342" s="27"/>
      <c r="C342" s="28" t="s">
        <v>8</v>
      </c>
    </row>
    <row r="343" spans="1:3" x14ac:dyDescent="0.2">
      <c r="A343" s="31" t="s">
        <v>522</v>
      </c>
      <c r="B343" s="27"/>
      <c r="C343" s="28" t="s">
        <v>8</v>
      </c>
    </row>
    <row r="344" spans="1:3" x14ac:dyDescent="0.2">
      <c r="A344" s="31" t="s">
        <v>523</v>
      </c>
      <c r="B344" s="27"/>
      <c r="C344" s="28" t="s">
        <v>8</v>
      </c>
    </row>
    <row r="345" spans="1:3" x14ac:dyDescent="0.2">
      <c r="A345" s="31" t="s">
        <v>524</v>
      </c>
      <c r="B345" s="27"/>
      <c r="C345" s="28" t="s">
        <v>8</v>
      </c>
    </row>
    <row r="346" spans="1:3" x14ac:dyDescent="0.2">
      <c r="A346" s="31" t="s">
        <v>525</v>
      </c>
      <c r="B346" s="27"/>
      <c r="C346" s="28" t="s">
        <v>8</v>
      </c>
    </row>
    <row r="347" spans="1:3" x14ac:dyDescent="0.2">
      <c r="A347" s="31" t="s">
        <v>526</v>
      </c>
      <c r="B347" s="27"/>
      <c r="C347" s="28" t="s">
        <v>8</v>
      </c>
    </row>
    <row r="348" spans="1:3" x14ac:dyDescent="0.2">
      <c r="A348" s="31" t="s">
        <v>527</v>
      </c>
      <c r="B348" s="27"/>
      <c r="C348" s="28" t="s">
        <v>8</v>
      </c>
    </row>
    <row r="349" spans="1:3" x14ac:dyDescent="0.2">
      <c r="A349" s="31" t="s">
        <v>528</v>
      </c>
      <c r="B349" s="27"/>
      <c r="C349" s="28" t="s">
        <v>8</v>
      </c>
    </row>
    <row r="350" spans="1:3" x14ac:dyDescent="0.2">
      <c r="A350" s="31" t="s">
        <v>529</v>
      </c>
      <c r="B350" s="27"/>
      <c r="C350" s="28" t="s">
        <v>8</v>
      </c>
    </row>
    <row r="351" spans="1:3" x14ac:dyDescent="0.2">
      <c r="A351" s="31" t="s">
        <v>140</v>
      </c>
      <c r="B351" s="27"/>
      <c r="C351" s="28" t="s">
        <v>8</v>
      </c>
    </row>
    <row r="352" spans="1:3" x14ac:dyDescent="0.2">
      <c r="A352" s="31" t="s">
        <v>530</v>
      </c>
      <c r="B352" s="27"/>
      <c r="C352" s="28" t="s">
        <v>8</v>
      </c>
    </row>
    <row r="353" spans="1:3" x14ac:dyDescent="0.2">
      <c r="A353" s="31" t="s">
        <v>531</v>
      </c>
      <c r="B353" s="27"/>
      <c r="C353" s="28" t="s">
        <v>8</v>
      </c>
    </row>
    <row r="354" spans="1:3" x14ac:dyDescent="0.2">
      <c r="A354" s="31" t="s">
        <v>532</v>
      </c>
      <c r="B354" s="27"/>
      <c r="C354" s="28" t="s">
        <v>8</v>
      </c>
    </row>
    <row r="355" spans="1:3" x14ac:dyDescent="0.2">
      <c r="A355" s="31" t="s">
        <v>533</v>
      </c>
      <c r="B355" s="27"/>
      <c r="C355" s="28" t="s">
        <v>8</v>
      </c>
    </row>
    <row r="356" spans="1:3" x14ac:dyDescent="0.2">
      <c r="A356" s="31" t="s">
        <v>534</v>
      </c>
      <c r="B356" s="27"/>
      <c r="C356" s="28" t="s">
        <v>8</v>
      </c>
    </row>
    <row r="357" spans="1:3" x14ac:dyDescent="0.2">
      <c r="A357" s="31" t="s">
        <v>535</v>
      </c>
      <c r="B357" s="27"/>
      <c r="C357" s="28" t="s">
        <v>8</v>
      </c>
    </row>
    <row r="358" spans="1:3" x14ac:dyDescent="0.2">
      <c r="A358" s="31" t="s">
        <v>536</v>
      </c>
      <c r="B358" s="27"/>
      <c r="C358" s="28" t="s">
        <v>8</v>
      </c>
    </row>
    <row r="359" spans="1:3" x14ac:dyDescent="0.2">
      <c r="A359" s="31" t="s">
        <v>537</v>
      </c>
      <c r="B359" s="27"/>
      <c r="C359" s="28" t="s">
        <v>8</v>
      </c>
    </row>
    <row r="360" spans="1:3" x14ac:dyDescent="0.2">
      <c r="A360" s="31" t="s">
        <v>538</v>
      </c>
      <c r="B360" s="27"/>
      <c r="C360" s="28" t="s">
        <v>8</v>
      </c>
    </row>
    <row r="361" spans="1:3" x14ac:dyDescent="0.2">
      <c r="A361" s="31" t="s">
        <v>539</v>
      </c>
      <c r="B361" s="27"/>
      <c r="C361" s="28" t="s">
        <v>8</v>
      </c>
    </row>
    <row r="362" spans="1:3" x14ac:dyDescent="0.2">
      <c r="A362" s="31" t="s">
        <v>540</v>
      </c>
      <c r="B362" s="27"/>
      <c r="C362" s="28" t="s">
        <v>8</v>
      </c>
    </row>
    <row r="363" spans="1:3" x14ac:dyDescent="0.2">
      <c r="A363" s="31" t="s">
        <v>541</v>
      </c>
      <c r="B363" s="27"/>
      <c r="C363" s="28" t="s">
        <v>8</v>
      </c>
    </row>
    <row r="364" spans="1:3" x14ac:dyDescent="0.2">
      <c r="A364" s="31" t="s">
        <v>542</v>
      </c>
      <c r="B364" s="27"/>
      <c r="C364" s="28" t="s">
        <v>8</v>
      </c>
    </row>
    <row r="365" spans="1:3" x14ac:dyDescent="0.2">
      <c r="A365" s="31" t="s">
        <v>543</v>
      </c>
      <c r="B365" s="27"/>
      <c r="C365" s="28" t="s">
        <v>8</v>
      </c>
    </row>
    <row r="366" spans="1:3" x14ac:dyDescent="0.2">
      <c r="A366" s="31" t="s">
        <v>544</v>
      </c>
      <c r="B366" s="27"/>
      <c r="C366" s="28" t="s">
        <v>8</v>
      </c>
    </row>
    <row r="367" spans="1:3" x14ac:dyDescent="0.2">
      <c r="A367" s="31" t="s">
        <v>545</v>
      </c>
      <c r="B367" s="27"/>
      <c r="C367" s="28" t="s">
        <v>8</v>
      </c>
    </row>
    <row r="368" spans="1:3" x14ac:dyDescent="0.2">
      <c r="A368" s="31" t="s">
        <v>546</v>
      </c>
      <c r="B368" s="27"/>
      <c r="C368" s="28" t="s">
        <v>8</v>
      </c>
    </row>
    <row r="369" spans="1:3" x14ac:dyDescent="0.2">
      <c r="A369" s="31" t="s">
        <v>547</v>
      </c>
      <c r="B369" s="27"/>
      <c r="C369" s="28" t="s">
        <v>8</v>
      </c>
    </row>
    <row r="370" spans="1:3" x14ac:dyDescent="0.2">
      <c r="A370" s="31" t="s">
        <v>548</v>
      </c>
      <c r="B370" s="27"/>
      <c r="C370" s="28" t="s">
        <v>8</v>
      </c>
    </row>
    <row r="371" spans="1:3" x14ac:dyDescent="0.2">
      <c r="A371" s="31" t="s">
        <v>549</v>
      </c>
      <c r="B371" s="27"/>
      <c r="C371" s="28" t="s">
        <v>8</v>
      </c>
    </row>
    <row r="372" spans="1:3" x14ac:dyDescent="0.2">
      <c r="A372" s="31" t="s">
        <v>550</v>
      </c>
      <c r="B372" s="27"/>
      <c r="C372" s="28" t="s">
        <v>8</v>
      </c>
    </row>
    <row r="373" spans="1:3" x14ac:dyDescent="0.2">
      <c r="A373" s="31" t="s">
        <v>551</v>
      </c>
      <c r="B373" s="27"/>
      <c r="C373" s="28" t="s">
        <v>8</v>
      </c>
    </row>
    <row r="374" spans="1:3" x14ac:dyDescent="0.2">
      <c r="A374" s="31" t="s">
        <v>552</v>
      </c>
      <c r="B374" s="27"/>
      <c r="C374" s="28" t="s">
        <v>8</v>
      </c>
    </row>
    <row r="375" spans="1:3" x14ac:dyDescent="0.2">
      <c r="A375" s="31" t="s">
        <v>553</v>
      </c>
      <c r="B375" s="27"/>
      <c r="C375" s="28" t="s">
        <v>8</v>
      </c>
    </row>
    <row r="376" spans="1:3" x14ac:dyDescent="0.2">
      <c r="A376" s="31" t="s">
        <v>554</v>
      </c>
      <c r="B376" s="27"/>
      <c r="C376" s="28" t="s">
        <v>8</v>
      </c>
    </row>
    <row r="377" spans="1:3" x14ac:dyDescent="0.2">
      <c r="A377" s="31" t="s">
        <v>555</v>
      </c>
      <c r="B377" s="27"/>
      <c r="C377" s="28" t="s">
        <v>8</v>
      </c>
    </row>
    <row r="378" spans="1:3" x14ac:dyDescent="0.2">
      <c r="A378" s="31" t="s">
        <v>556</v>
      </c>
      <c r="B378" s="27"/>
      <c r="C378" s="28" t="s">
        <v>8</v>
      </c>
    </row>
    <row r="379" spans="1:3" x14ac:dyDescent="0.2">
      <c r="A379" s="31" t="s">
        <v>557</v>
      </c>
      <c r="B379" s="27"/>
      <c r="C379" s="28" t="s">
        <v>8</v>
      </c>
    </row>
    <row r="380" spans="1:3" x14ac:dyDescent="0.2">
      <c r="A380" s="31" t="s">
        <v>558</v>
      </c>
      <c r="B380" s="27"/>
      <c r="C380" s="28" t="s">
        <v>8</v>
      </c>
    </row>
    <row r="381" spans="1:3" x14ac:dyDescent="0.2">
      <c r="A381" s="31" t="s">
        <v>559</v>
      </c>
      <c r="B381" s="27"/>
      <c r="C381" s="28" t="s">
        <v>8</v>
      </c>
    </row>
    <row r="382" spans="1:3" x14ac:dyDescent="0.2">
      <c r="A382" s="31" t="s">
        <v>185</v>
      </c>
      <c r="B382" s="27"/>
      <c r="C382" s="28" t="s">
        <v>8</v>
      </c>
    </row>
    <row r="383" spans="1:3" x14ac:dyDescent="0.2">
      <c r="A383" s="31" t="s">
        <v>560</v>
      </c>
      <c r="B383" s="27"/>
      <c r="C383" s="28" t="s">
        <v>8</v>
      </c>
    </row>
    <row r="384" spans="1:3" x14ac:dyDescent="0.2">
      <c r="A384" s="31" t="s">
        <v>561</v>
      </c>
      <c r="B384" s="27"/>
      <c r="C384" s="28" t="s">
        <v>8</v>
      </c>
    </row>
    <row r="385" spans="1:3" x14ac:dyDescent="0.2">
      <c r="A385" s="31" t="s">
        <v>562</v>
      </c>
      <c r="B385" s="27"/>
      <c r="C385" s="28" t="s">
        <v>8</v>
      </c>
    </row>
    <row r="386" spans="1:3" x14ac:dyDescent="0.2">
      <c r="A386" s="31" t="s">
        <v>563</v>
      </c>
      <c r="B386" s="27"/>
      <c r="C386" s="28" t="s">
        <v>8</v>
      </c>
    </row>
    <row r="387" spans="1:3" x14ac:dyDescent="0.2">
      <c r="A387" s="31" t="s">
        <v>564</v>
      </c>
      <c r="B387" s="27"/>
      <c r="C387" s="28" t="s">
        <v>8</v>
      </c>
    </row>
    <row r="388" spans="1:3" x14ac:dyDescent="0.2">
      <c r="A388" s="31" t="s">
        <v>565</v>
      </c>
      <c r="B388" s="27"/>
      <c r="C388" s="28" t="s">
        <v>8</v>
      </c>
    </row>
    <row r="389" spans="1:3" x14ac:dyDescent="0.2">
      <c r="A389" s="31" t="s">
        <v>566</v>
      </c>
      <c r="B389" s="27"/>
      <c r="C389" s="28" t="s">
        <v>8</v>
      </c>
    </row>
    <row r="390" spans="1:3" x14ac:dyDescent="0.2">
      <c r="A390" s="31" t="s">
        <v>567</v>
      </c>
      <c r="B390" s="27"/>
      <c r="C390" s="28" t="s">
        <v>8</v>
      </c>
    </row>
    <row r="391" spans="1:3" x14ac:dyDescent="0.2">
      <c r="A391" s="31" t="s">
        <v>568</v>
      </c>
      <c r="B391" s="27"/>
      <c r="C391" s="28" t="s">
        <v>8</v>
      </c>
    </row>
    <row r="392" spans="1:3" x14ac:dyDescent="0.2">
      <c r="A392" s="31" t="s">
        <v>569</v>
      </c>
      <c r="B392" s="27"/>
      <c r="C392" s="28" t="s">
        <v>8</v>
      </c>
    </row>
    <row r="393" spans="1:3" x14ac:dyDescent="0.2">
      <c r="A393" s="31" t="s">
        <v>570</v>
      </c>
      <c r="B393" s="27"/>
      <c r="C393" s="28" t="s">
        <v>8</v>
      </c>
    </row>
    <row r="394" spans="1:3" x14ac:dyDescent="0.2">
      <c r="A394" s="31" t="s">
        <v>571</v>
      </c>
      <c r="B394" s="27"/>
      <c r="C394" s="28" t="s">
        <v>8</v>
      </c>
    </row>
    <row r="395" spans="1:3" x14ac:dyDescent="0.2">
      <c r="A395" s="31" t="s">
        <v>572</v>
      </c>
      <c r="B395" s="27"/>
      <c r="C395" s="28" t="s">
        <v>8</v>
      </c>
    </row>
    <row r="396" spans="1:3" x14ac:dyDescent="0.2">
      <c r="A396" s="31" t="s">
        <v>573</v>
      </c>
      <c r="B396" s="27"/>
      <c r="C396" s="28" t="s">
        <v>8</v>
      </c>
    </row>
    <row r="397" spans="1:3" x14ac:dyDescent="0.2">
      <c r="A397" s="31" t="s">
        <v>574</v>
      </c>
      <c r="B397" s="27"/>
      <c r="C397" s="28" t="s">
        <v>8</v>
      </c>
    </row>
    <row r="398" spans="1:3" x14ac:dyDescent="0.2">
      <c r="A398" s="31" t="s">
        <v>575</v>
      </c>
      <c r="B398" s="27"/>
      <c r="C398" s="28" t="s">
        <v>8</v>
      </c>
    </row>
    <row r="399" spans="1:3" x14ac:dyDescent="0.2">
      <c r="A399" s="31" t="s">
        <v>576</v>
      </c>
      <c r="B399" s="27"/>
      <c r="C399" s="28" t="s">
        <v>8</v>
      </c>
    </row>
    <row r="400" spans="1:3" x14ac:dyDescent="0.2">
      <c r="A400" s="31" t="s">
        <v>577</v>
      </c>
      <c r="B400" s="27"/>
      <c r="C400" s="28" t="s">
        <v>8</v>
      </c>
    </row>
    <row r="401" spans="1:3" x14ac:dyDescent="0.2">
      <c r="A401" s="31" t="s">
        <v>578</v>
      </c>
      <c r="B401" s="27"/>
      <c r="C401" s="28" t="s">
        <v>8</v>
      </c>
    </row>
    <row r="402" spans="1:3" x14ac:dyDescent="0.2">
      <c r="A402" s="31" t="s">
        <v>579</v>
      </c>
      <c r="B402" s="27"/>
      <c r="C402" s="28" t="s">
        <v>8</v>
      </c>
    </row>
    <row r="403" spans="1:3" x14ac:dyDescent="0.2">
      <c r="A403" s="31" t="s">
        <v>580</v>
      </c>
      <c r="B403" s="27"/>
      <c r="C403" s="28" t="s">
        <v>8</v>
      </c>
    </row>
    <row r="404" spans="1:3" x14ac:dyDescent="0.2">
      <c r="A404" s="31" t="s">
        <v>581</v>
      </c>
      <c r="B404" s="27"/>
      <c r="C404" s="28" t="s">
        <v>8</v>
      </c>
    </row>
    <row r="405" spans="1:3" x14ac:dyDescent="0.2">
      <c r="A405" s="31" t="s">
        <v>582</v>
      </c>
      <c r="B405" s="27"/>
      <c r="C405" s="28" t="s">
        <v>8</v>
      </c>
    </row>
    <row r="406" spans="1:3" x14ac:dyDescent="0.2">
      <c r="A406" s="31" t="s">
        <v>583</v>
      </c>
      <c r="B406" s="27"/>
      <c r="C406" s="28" t="s">
        <v>8</v>
      </c>
    </row>
    <row r="407" spans="1:3" x14ac:dyDescent="0.2">
      <c r="A407" s="31" t="s">
        <v>584</v>
      </c>
      <c r="B407" s="27"/>
      <c r="C407" s="28" t="s">
        <v>8</v>
      </c>
    </row>
    <row r="408" spans="1:3" x14ac:dyDescent="0.2">
      <c r="A408" s="31" t="s">
        <v>585</v>
      </c>
      <c r="B408" s="27"/>
      <c r="C408" s="28" t="s">
        <v>8</v>
      </c>
    </row>
    <row r="409" spans="1:3" x14ac:dyDescent="0.2">
      <c r="A409" s="31" t="s">
        <v>586</v>
      </c>
      <c r="B409" s="27"/>
      <c r="C409" s="28" t="s">
        <v>8</v>
      </c>
    </row>
    <row r="410" spans="1:3" x14ac:dyDescent="0.2">
      <c r="A410" s="31" t="s">
        <v>587</v>
      </c>
      <c r="B410" s="27"/>
      <c r="C410" s="28" t="s">
        <v>8</v>
      </c>
    </row>
    <row r="411" spans="1:3" x14ac:dyDescent="0.2">
      <c r="A411" s="31" t="s">
        <v>588</v>
      </c>
      <c r="B411" s="27"/>
      <c r="C411" s="28" t="s">
        <v>8</v>
      </c>
    </row>
    <row r="412" spans="1:3" x14ac:dyDescent="0.2">
      <c r="A412" s="31" t="s">
        <v>148</v>
      </c>
      <c r="B412" s="27"/>
      <c r="C412" s="28" t="s">
        <v>8</v>
      </c>
    </row>
    <row r="413" spans="1:3" x14ac:dyDescent="0.2">
      <c r="A413" s="31" t="s">
        <v>589</v>
      </c>
      <c r="B413" s="27"/>
      <c r="C413" s="28" t="s">
        <v>8</v>
      </c>
    </row>
    <row r="414" spans="1:3" x14ac:dyDescent="0.2">
      <c r="A414" s="31" t="s">
        <v>590</v>
      </c>
      <c r="B414" s="27"/>
      <c r="C414" s="28" t="s">
        <v>8</v>
      </c>
    </row>
    <row r="415" spans="1:3" x14ac:dyDescent="0.2">
      <c r="A415" s="31" t="s">
        <v>591</v>
      </c>
      <c r="B415" s="27"/>
      <c r="C415" s="28" t="s">
        <v>8</v>
      </c>
    </row>
    <row r="416" spans="1:3" x14ac:dyDescent="0.2">
      <c r="A416" s="31" t="s">
        <v>592</v>
      </c>
      <c r="B416" s="27"/>
      <c r="C416" s="28" t="s">
        <v>8</v>
      </c>
    </row>
    <row r="417" spans="1:3" x14ac:dyDescent="0.2">
      <c r="A417" s="27" t="s">
        <v>593</v>
      </c>
      <c r="B417" s="27"/>
      <c r="C417" s="30" t="s">
        <v>66</v>
      </c>
    </row>
    <row r="418" spans="1:3" x14ac:dyDescent="0.2">
      <c r="A418" s="27" t="s">
        <v>594</v>
      </c>
      <c r="B418" s="27"/>
      <c r="C418" s="30" t="s">
        <v>66</v>
      </c>
    </row>
    <row r="419" spans="1:3" x14ac:dyDescent="0.2">
      <c r="A419" s="27" t="s">
        <v>595</v>
      </c>
      <c r="B419" s="27"/>
      <c r="C419" s="30" t="s">
        <v>66</v>
      </c>
    </row>
    <row r="420" spans="1:3" x14ac:dyDescent="0.2">
      <c r="A420" s="27" t="s">
        <v>596</v>
      </c>
      <c r="B420" s="27"/>
      <c r="C420" s="30" t="s">
        <v>66</v>
      </c>
    </row>
    <row r="421" spans="1:3" x14ac:dyDescent="0.2">
      <c r="A421" s="27" t="s">
        <v>597</v>
      </c>
      <c r="B421" s="27"/>
      <c r="C421" s="30" t="s">
        <v>66</v>
      </c>
    </row>
    <row r="422" spans="1:3" x14ac:dyDescent="0.2">
      <c r="A422" s="27" t="s">
        <v>598</v>
      </c>
      <c r="B422" s="27"/>
      <c r="C422" s="30" t="s">
        <v>66</v>
      </c>
    </row>
    <row r="423" spans="1:3" x14ac:dyDescent="0.2">
      <c r="A423" s="27" t="s">
        <v>599</v>
      </c>
      <c r="B423" s="27"/>
      <c r="C423" s="30" t="s">
        <v>66</v>
      </c>
    </row>
    <row r="424" spans="1:3" x14ac:dyDescent="0.2">
      <c r="A424" s="27" t="s">
        <v>600</v>
      </c>
      <c r="B424" s="27"/>
      <c r="C424" s="30" t="s">
        <v>66</v>
      </c>
    </row>
    <row r="425" spans="1:3" x14ac:dyDescent="0.2">
      <c r="A425" s="27" t="s">
        <v>601</v>
      </c>
      <c r="B425" s="27"/>
      <c r="C425" s="30" t="s">
        <v>66</v>
      </c>
    </row>
    <row r="426" spans="1:3" x14ac:dyDescent="0.2">
      <c r="A426" s="27" t="s">
        <v>602</v>
      </c>
      <c r="B426" s="27"/>
      <c r="C426" s="30" t="s">
        <v>66</v>
      </c>
    </row>
    <row r="427" spans="1:3" x14ac:dyDescent="0.2">
      <c r="A427" s="27" t="s">
        <v>603</v>
      </c>
      <c r="B427" s="27"/>
      <c r="C427" s="30" t="s">
        <v>66</v>
      </c>
    </row>
    <row r="428" spans="1:3" x14ac:dyDescent="0.2">
      <c r="A428" s="27" t="s">
        <v>604</v>
      </c>
      <c r="B428" s="27"/>
      <c r="C428" s="30" t="s">
        <v>66</v>
      </c>
    </row>
    <row r="429" spans="1:3" x14ac:dyDescent="0.2">
      <c r="A429" s="27" t="s">
        <v>605</v>
      </c>
      <c r="B429" s="27"/>
      <c r="C429" s="30" t="s">
        <v>66</v>
      </c>
    </row>
    <row r="430" spans="1:3" x14ac:dyDescent="0.2">
      <c r="A430" s="27" t="s">
        <v>606</v>
      </c>
      <c r="B430" s="27"/>
      <c r="C430" s="30" t="s">
        <v>66</v>
      </c>
    </row>
    <row r="431" spans="1:3" x14ac:dyDescent="0.2">
      <c r="A431" s="27" t="s">
        <v>607</v>
      </c>
      <c r="B431" s="27"/>
      <c r="C431" s="30" t="s">
        <v>66</v>
      </c>
    </row>
    <row r="432" spans="1:3" x14ac:dyDescent="0.2">
      <c r="A432" s="27" t="s">
        <v>608</v>
      </c>
      <c r="B432" s="27"/>
      <c r="C432" s="30" t="s">
        <v>66</v>
      </c>
    </row>
    <row r="433" spans="1:3" x14ac:dyDescent="0.2">
      <c r="A433" s="27" t="s">
        <v>609</v>
      </c>
      <c r="B433" s="27" t="s">
        <v>610</v>
      </c>
      <c r="C433" s="30" t="s">
        <v>66</v>
      </c>
    </row>
    <row r="434" spans="1:3" x14ac:dyDescent="0.2">
      <c r="A434" s="27" t="s">
        <v>611</v>
      </c>
      <c r="B434" s="27"/>
      <c r="C434" s="30" t="s">
        <v>66</v>
      </c>
    </row>
    <row r="435" spans="1:3" x14ac:dyDescent="0.2">
      <c r="A435" s="27" t="s">
        <v>612</v>
      </c>
      <c r="B435" s="27"/>
      <c r="C435" s="30" t="s">
        <v>66</v>
      </c>
    </row>
    <row r="436" spans="1:3" x14ac:dyDescent="0.2">
      <c r="A436" s="27" t="s">
        <v>613</v>
      </c>
      <c r="B436" s="27"/>
      <c r="C436" s="30" t="s">
        <v>66</v>
      </c>
    </row>
    <row r="437" spans="1:3" x14ac:dyDescent="0.2">
      <c r="A437" s="27" t="s">
        <v>614</v>
      </c>
      <c r="B437" s="27"/>
      <c r="C437" s="30" t="s">
        <v>66</v>
      </c>
    </row>
    <row r="438" spans="1:3" x14ac:dyDescent="0.2">
      <c r="A438" s="27" t="s">
        <v>615</v>
      </c>
      <c r="B438" s="27"/>
      <c r="C438" s="30" t="s">
        <v>66</v>
      </c>
    </row>
    <row r="439" spans="1:3" x14ac:dyDescent="0.2">
      <c r="A439" s="27" t="s">
        <v>616</v>
      </c>
      <c r="B439" s="27"/>
      <c r="C439" s="30" t="s">
        <v>66</v>
      </c>
    </row>
    <row r="440" spans="1:3" x14ac:dyDescent="0.2">
      <c r="A440" s="27" t="s">
        <v>617</v>
      </c>
      <c r="B440" s="27"/>
      <c r="C440" s="30" t="s">
        <v>66</v>
      </c>
    </row>
    <row r="441" spans="1:3" x14ac:dyDescent="0.2">
      <c r="A441" s="27" t="s">
        <v>618</v>
      </c>
      <c r="B441" s="27"/>
      <c r="C441" s="30" t="s">
        <v>66</v>
      </c>
    </row>
    <row r="442" spans="1:3" x14ac:dyDescent="0.2">
      <c r="A442" s="27" t="s">
        <v>143</v>
      </c>
      <c r="B442" s="27"/>
      <c r="C442" s="30" t="s">
        <v>66</v>
      </c>
    </row>
    <row r="443" spans="1:3" x14ac:dyDescent="0.2">
      <c r="A443" s="27" t="s">
        <v>619</v>
      </c>
      <c r="B443" s="27"/>
      <c r="C443" s="30" t="s">
        <v>66</v>
      </c>
    </row>
    <row r="444" spans="1:3" x14ac:dyDescent="0.2">
      <c r="A444" s="27" t="s">
        <v>620</v>
      </c>
      <c r="B444" s="27"/>
      <c r="C444" s="30" t="s">
        <v>66</v>
      </c>
    </row>
    <row r="445" spans="1:3" x14ac:dyDescent="0.2">
      <c r="A445" s="27" t="s">
        <v>621</v>
      </c>
      <c r="B445" s="27"/>
      <c r="C445" s="30" t="s">
        <v>66</v>
      </c>
    </row>
    <row r="446" spans="1:3" x14ac:dyDescent="0.2">
      <c r="A446" s="27" t="s">
        <v>622</v>
      </c>
      <c r="B446" s="27"/>
      <c r="C446" s="30" t="s">
        <v>66</v>
      </c>
    </row>
    <row r="447" spans="1:3" x14ac:dyDescent="0.2">
      <c r="A447" s="27" t="s">
        <v>623</v>
      </c>
      <c r="B447" s="27"/>
      <c r="C447" s="30" t="s">
        <v>66</v>
      </c>
    </row>
    <row r="448" spans="1:3" x14ac:dyDescent="0.2">
      <c r="A448" s="27" t="s">
        <v>624</v>
      </c>
      <c r="B448" s="27"/>
      <c r="C448" s="30" t="s">
        <v>66</v>
      </c>
    </row>
    <row r="449" spans="1:3" x14ac:dyDescent="0.2">
      <c r="A449" s="27" t="s">
        <v>625</v>
      </c>
      <c r="B449" s="27"/>
      <c r="C449" s="30" t="s">
        <v>66</v>
      </c>
    </row>
    <row r="450" spans="1:3" x14ac:dyDescent="0.2">
      <c r="A450" s="27" t="s">
        <v>626</v>
      </c>
      <c r="B450" s="27"/>
      <c r="C450" s="30" t="s">
        <v>66</v>
      </c>
    </row>
    <row r="451" spans="1:3" x14ac:dyDescent="0.2">
      <c r="A451" s="27" t="s">
        <v>627</v>
      </c>
      <c r="B451" s="27"/>
      <c r="C451" s="30" t="s">
        <v>66</v>
      </c>
    </row>
    <row r="452" spans="1:3" x14ac:dyDescent="0.2">
      <c r="A452" s="27" t="s">
        <v>628</v>
      </c>
      <c r="B452" s="27"/>
      <c r="C452" s="30" t="s">
        <v>66</v>
      </c>
    </row>
    <row r="453" spans="1:3" x14ac:dyDescent="0.2">
      <c r="A453" s="27" t="s">
        <v>145</v>
      </c>
      <c r="B453" s="27"/>
      <c r="C453" s="30" t="s">
        <v>66</v>
      </c>
    </row>
    <row r="454" spans="1:3" x14ac:dyDescent="0.2">
      <c r="A454" s="27" t="s">
        <v>629</v>
      </c>
      <c r="B454" s="27"/>
      <c r="C454" s="30" t="s">
        <v>66</v>
      </c>
    </row>
    <row r="455" spans="1:3" x14ac:dyDescent="0.2">
      <c r="A455" s="27" t="s">
        <v>630</v>
      </c>
      <c r="B455" s="27"/>
      <c r="C455" s="30" t="s">
        <v>66</v>
      </c>
    </row>
    <row r="456" spans="1:3" x14ac:dyDescent="0.2">
      <c r="A456" s="27" t="s">
        <v>631</v>
      </c>
      <c r="B456" s="27"/>
      <c r="C456" s="30" t="s">
        <v>66</v>
      </c>
    </row>
    <row r="457" spans="1:3" x14ac:dyDescent="0.2">
      <c r="A457" s="27" t="s">
        <v>632</v>
      </c>
      <c r="B457" s="27"/>
      <c r="C457" s="30" t="s">
        <v>66</v>
      </c>
    </row>
    <row r="458" spans="1:3" x14ac:dyDescent="0.2">
      <c r="A458" s="27" t="s">
        <v>633</v>
      </c>
      <c r="B458" s="27"/>
      <c r="C458" s="30" t="s">
        <v>66</v>
      </c>
    </row>
    <row r="459" spans="1:3" x14ac:dyDescent="0.2">
      <c r="A459" s="27" t="s">
        <v>634</v>
      </c>
      <c r="B459" s="27"/>
      <c r="C459" s="30" t="s">
        <v>66</v>
      </c>
    </row>
    <row r="460" spans="1:3" x14ac:dyDescent="0.2">
      <c r="A460" s="27" t="s">
        <v>635</v>
      </c>
      <c r="B460" s="27"/>
      <c r="C460" s="30" t="s">
        <v>66</v>
      </c>
    </row>
    <row r="461" spans="1:3" x14ac:dyDescent="0.2">
      <c r="A461" s="27" t="s">
        <v>636</v>
      </c>
      <c r="B461" s="27"/>
      <c r="C461" s="30" t="s">
        <v>66</v>
      </c>
    </row>
    <row r="462" spans="1:3" x14ac:dyDescent="0.2">
      <c r="A462" s="27" t="s">
        <v>637</v>
      </c>
      <c r="B462" s="27"/>
      <c r="C462" s="28" t="s">
        <v>51</v>
      </c>
    </row>
    <row r="463" spans="1:3" x14ac:dyDescent="0.2">
      <c r="A463" s="27" t="s">
        <v>638</v>
      </c>
      <c r="B463" s="27"/>
      <c r="C463" s="28" t="s">
        <v>51</v>
      </c>
    </row>
    <row r="464" spans="1:3" x14ac:dyDescent="0.2">
      <c r="A464" s="27" t="s">
        <v>639</v>
      </c>
      <c r="B464" s="27"/>
      <c r="C464" s="28" t="s">
        <v>51</v>
      </c>
    </row>
    <row r="465" spans="1:3" x14ac:dyDescent="0.2">
      <c r="A465" s="27" t="s">
        <v>640</v>
      </c>
      <c r="B465" s="27"/>
      <c r="C465" s="28" t="s">
        <v>51</v>
      </c>
    </row>
    <row r="466" spans="1:3" x14ac:dyDescent="0.2">
      <c r="A466" s="27" t="s">
        <v>641</v>
      </c>
      <c r="B466" s="27"/>
      <c r="C466" s="28" t="s">
        <v>51</v>
      </c>
    </row>
    <row r="467" spans="1:3" x14ac:dyDescent="0.2">
      <c r="A467" s="27" t="s">
        <v>642</v>
      </c>
      <c r="B467" s="27"/>
      <c r="C467" s="28" t="s">
        <v>51</v>
      </c>
    </row>
    <row r="468" spans="1:3" x14ac:dyDescent="0.2">
      <c r="A468" s="27" t="s">
        <v>643</v>
      </c>
      <c r="B468" s="27"/>
      <c r="C468" s="28" t="s">
        <v>51</v>
      </c>
    </row>
    <row r="469" spans="1:3" x14ac:dyDescent="0.2">
      <c r="A469" s="27" t="s">
        <v>644</v>
      </c>
      <c r="B469" s="27"/>
      <c r="C469" s="28" t="s">
        <v>51</v>
      </c>
    </row>
    <row r="470" spans="1:3" x14ac:dyDescent="0.2">
      <c r="A470" s="27" t="s">
        <v>645</v>
      </c>
      <c r="B470" s="27"/>
      <c r="C470" s="28" t="s">
        <v>51</v>
      </c>
    </row>
    <row r="471" spans="1:3" x14ac:dyDescent="0.2">
      <c r="A471" s="27" t="s">
        <v>646</v>
      </c>
      <c r="B471" s="27"/>
      <c r="C471" s="28" t="s">
        <v>51</v>
      </c>
    </row>
    <row r="472" spans="1:3" x14ac:dyDescent="0.2">
      <c r="A472" s="27" t="s">
        <v>647</v>
      </c>
      <c r="B472" s="27"/>
      <c r="C472" s="28" t="s">
        <v>51</v>
      </c>
    </row>
    <row r="473" spans="1:3" x14ac:dyDescent="0.2">
      <c r="A473" s="27" t="s">
        <v>648</v>
      </c>
      <c r="B473" s="27"/>
      <c r="C473" s="28" t="s">
        <v>51</v>
      </c>
    </row>
    <row r="474" spans="1:3" x14ac:dyDescent="0.2">
      <c r="A474" s="27" t="s">
        <v>649</v>
      </c>
      <c r="B474" s="27"/>
      <c r="C474" s="28" t="s">
        <v>51</v>
      </c>
    </row>
    <row r="475" spans="1:3" x14ac:dyDescent="0.2">
      <c r="A475" s="27" t="s">
        <v>650</v>
      </c>
      <c r="B475" s="27"/>
      <c r="C475" s="28" t="s">
        <v>51</v>
      </c>
    </row>
    <row r="476" spans="1:3" x14ac:dyDescent="0.2">
      <c r="A476" s="27" t="s">
        <v>651</v>
      </c>
      <c r="B476" s="27"/>
      <c r="C476" s="28" t="s">
        <v>51</v>
      </c>
    </row>
    <row r="477" spans="1:3" x14ac:dyDescent="0.2">
      <c r="A477" s="27" t="s">
        <v>652</v>
      </c>
      <c r="B477" s="27"/>
      <c r="C477" s="28" t="s">
        <v>51</v>
      </c>
    </row>
    <row r="478" spans="1:3" x14ac:dyDescent="0.2">
      <c r="A478" s="27" t="s">
        <v>653</v>
      </c>
      <c r="B478" s="27"/>
      <c r="C478" s="28" t="s">
        <v>51</v>
      </c>
    </row>
    <row r="479" spans="1:3" x14ac:dyDescent="0.2">
      <c r="A479" s="27" t="s">
        <v>654</v>
      </c>
      <c r="B479" s="27"/>
      <c r="C479" s="28" t="s">
        <v>51</v>
      </c>
    </row>
    <row r="480" spans="1:3" x14ac:dyDescent="0.2">
      <c r="A480" s="27" t="s">
        <v>655</v>
      </c>
      <c r="B480" s="27"/>
      <c r="C480" s="28" t="s">
        <v>51</v>
      </c>
    </row>
    <row r="481" spans="1:3" x14ac:dyDescent="0.2">
      <c r="A481" s="27" t="s">
        <v>656</v>
      </c>
      <c r="B481" s="27"/>
      <c r="C481" s="28" t="s">
        <v>51</v>
      </c>
    </row>
    <row r="482" spans="1:3" x14ac:dyDescent="0.2">
      <c r="A482" s="27" t="s">
        <v>657</v>
      </c>
      <c r="B482" s="27"/>
      <c r="C482" s="28" t="s">
        <v>51</v>
      </c>
    </row>
    <row r="483" spans="1:3" x14ac:dyDescent="0.2">
      <c r="A483" s="27" t="s">
        <v>147</v>
      </c>
      <c r="B483" s="27"/>
      <c r="C483" s="28" t="s">
        <v>51</v>
      </c>
    </row>
    <row r="484" spans="1:3" x14ac:dyDescent="0.2">
      <c r="A484" s="27" t="s">
        <v>658</v>
      </c>
      <c r="B484" s="27"/>
      <c r="C484" s="28" t="s">
        <v>51</v>
      </c>
    </row>
    <row r="485" spans="1:3" x14ac:dyDescent="0.2">
      <c r="A485" s="27" t="s">
        <v>659</v>
      </c>
      <c r="B485" s="27"/>
      <c r="C485" s="28" t="s">
        <v>51</v>
      </c>
    </row>
    <row r="486" spans="1:3" x14ac:dyDescent="0.2">
      <c r="A486" s="27" t="s">
        <v>660</v>
      </c>
      <c r="B486" s="27"/>
      <c r="C486" s="28" t="s">
        <v>51</v>
      </c>
    </row>
    <row r="487" spans="1:3" x14ac:dyDescent="0.2">
      <c r="A487" s="27" t="s">
        <v>661</v>
      </c>
      <c r="B487" s="27"/>
      <c r="C487" s="28" t="s">
        <v>51</v>
      </c>
    </row>
    <row r="488" spans="1:3" x14ac:dyDescent="0.2">
      <c r="A488" s="27" t="s">
        <v>662</v>
      </c>
      <c r="B488" s="27"/>
      <c r="C488" s="28" t="s">
        <v>51</v>
      </c>
    </row>
    <row r="489" spans="1:3" x14ac:dyDescent="0.2">
      <c r="A489" s="27" t="s">
        <v>663</v>
      </c>
      <c r="B489" s="27"/>
      <c r="C489" s="28" t="s">
        <v>51</v>
      </c>
    </row>
    <row r="490" spans="1:3" x14ac:dyDescent="0.2">
      <c r="A490" s="27" t="s">
        <v>664</v>
      </c>
      <c r="B490" s="27"/>
      <c r="C490" s="28" t="s">
        <v>51</v>
      </c>
    </row>
    <row r="491" spans="1:3" x14ac:dyDescent="0.2">
      <c r="A491" s="27" t="s">
        <v>665</v>
      </c>
      <c r="B491" s="27"/>
      <c r="C491" s="28" t="s">
        <v>51</v>
      </c>
    </row>
    <row r="492" spans="1:3" x14ac:dyDescent="0.2">
      <c r="A492" s="27" t="s">
        <v>666</v>
      </c>
      <c r="B492" s="27"/>
      <c r="C492" s="28" t="s">
        <v>51</v>
      </c>
    </row>
    <row r="493" spans="1:3" x14ac:dyDescent="0.2">
      <c r="A493" s="27" t="s">
        <v>667</v>
      </c>
      <c r="B493" s="27"/>
      <c r="C493" s="28" t="s">
        <v>51</v>
      </c>
    </row>
    <row r="494" spans="1:3" x14ac:dyDescent="0.2">
      <c r="A494" s="27" t="s">
        <v>668</v>
      </c>
      <c r="B494" s="27"/>
      <c r="C494" s="28" t="s">
        <v>51</v>
      </c>
    </row>
    <row r="495" spans="1:3" x14ac:dyDescent="0.2">
      <c r="A495" s="27" t="s">
        <v>669</v>
      </c>
      <c r="B495" s="27"/>
      <c r="C495" s="28" t="s">
        <v>51</v>
      </c>
    </row>
    <row r="496" spans="1:3" x14ac:dyDescent="0.2">
      <c r="A496" s="27" t="s">
        <v>670</v>
      </c>
      <c r="B496" s="27" t="s">
        <v>339</v>
      </c>
      <c r="C496" s="28" t="s">
        <v>51</v>
      </c>
    </row>
    <row r="497" spans="1:3" x14ac:dyDescent="0.2">
      <c r="A497" s="27" t="s">
        <v>671</v>
      </c>
      <c r="B497" s="27"/>
      <c r="C497" s="28" t="s">
        <v>51</v>
      </c>
    </row>
    <row r="498" spans="1:3" x14ac:dyDescent="0.2">
      <c r="A498" s="27" t="s">
        <v>672</v>
      </c>
      <c r="B498" s="27"/>
      <c r="C498" s="28" t="s">
        <v>51</v>
      </c>
    </row>
    <row r="499" spans="1:3" x14ac:dyDescent="0.2">
      <c r="A499" s="27" t="s">
        <v>673</v>
      </c>
      <c r="B499" s="27"/>
      <c r="C499" s="28" t="s">
        <v>51</v>
      </c>
    </row>
    <row r="500" spans="1:3" x14ac:dyDescent="0.2">
      <c r="A500" s="27" t="s">
        <v>674</v>
      </c>
      <c r="B500" s="27"/>
      <c r="C500" s="28" t="s">
        <v>51</v>
      </c>
    </row>
    <row r="501" spans="1:3" x14ac:dyDescent="0.2">
      <c r="A501" s="27" t="s">
        <v>675</v>
      </c>
      <c r="B501" s="27"/>
      <c r="C501" s="28" t="s">
        <v>51</v>
      </c>
    </row>
    <row r="502" spans="1:3" x14ac:dyDescent="0.2">
      <c r="A502" s="27" t="s">
        <v>676</v>
      </c>
      <c r="B502" s="27"/>
      <c r="C502" s="28" t="s">
        <v>51</v>
      </c>
    </row>
    <row r="503" spans="1:3" x14ac:dyDescent="0.2">
      <c r="A503" s="27" t="s">
        <v>677</v>
      </c>
      <c r="B503" s="27"/>
      <c r="C503" s="28" t="s">
        <v>51</v>
      </c>
    </row>
    <row r="504" spans="1:3" x14ac:dyDescent="0.2">
      <c r="A504" s="27" t="s">
        <v>678</v>
      </c>
      <c r="B504" s="27"/>
      <c r="C504" s="28" t="s">
        <v>51</v>
      </c>
    </row>
    <row r="505" spans="1:3" x14ac:dyDescent="0.2">
      <c r="A505" s="27" t="s">
        <v>679</v>
      </c>
      <c r="B505" s="27"/>
      <c r="C505" s="28" t="s">
        <v>51</v>
      </c>
    </row>
    <row r="506" spans="1:3" x14ac:dyDescent="0.2">
      <c r="A506" s="27" t="s">
        <v>680</v>
      </c>
      <c r="B506" s="27"/>
      <c r="C506" s="28" t="s">
        <v>51</v>
      </c>
    </row>
    <row r="507" spans="1:3" x14ac:dyDescent="0.2">
      <c r="A507" s="27" t="s">
        <v>681</v>
      </c>
      <c r="B507" s="27"/>
      <c r="C507" s="28" t="s">
        <v>51</v>
      </c>
    </row>
    <row r="508" spans="1:3" x14ac:dyDescent="0.2">
      <c r="A508" s="27" t="s">
        <v>682</v>
      </c>
      <c r="B508" s="27"/>
      <c r="C508" s="28" t="s">
        <v>51</v>
      </c>
    </row>
    <row r="509" spans="1:3" x14ac:dyDescent="0.2">
      <c r="A509" s="27" t="s">
        <v>683</v>
      </c>
      <c r="B509" s="27"/>
      <c r="C509" s="28" t="s">
        <v>51</v>
      </c>
    </row>
    <row r="510" spans="1:3" x14ac:dyDescent="0.2">
      <c r="A510" s="27" t="s">
        <v>684</v>
      </c>
      <c r="B510" s="27"/>
      <c r="C510" s="28" t="s">
        <v>51</v>
      </c>
    </row>
    <row r="511" spans="1:3" x14ac:dyDescent="0.2">
      <c r="A511" s="27" t="s">
        <v>685</v>
      </c>
      <c r="B511" s="27"/>
      <c r="C511" s="28" t="s">
        <v>51</v>
      </c>
    </row>
    <row r="512" spans="1:3" x14ac:dyDescent="0.2">
      <c r="A512" s="27" t="s">
        <v>686</v>
      </c>
      <c r="B512" s="27"/>
      <c r="C512" s="28" t="s">
        <v>51</v>
      </c>
    </row>
    <row r="513" spans="1:3" x14ac:dyDescent="0.2">
      <c r="A513" s="27" t="s">
        <v>687</v>
      </c>
      <c r="B513" s="27"/>
      <c r="C513" s="28" t="s">
        <v>51</v>
      </c>
    </row>
    <row r="514" spans="1:3" x14ac:dyDescent="0.2">
      <c r="A514" s="27" t="s">
        <v>688</v>
      </c>
      <c r="B514" s="27"/>
      <c r="C514" s="28" t="s">
        <v>51</v>
      </c>
    </row>
    <row r="515" spans="1:3" x14ac:dyDescent="0.2">
      <c r="A515" s="27" t="s">
        <v>689</v>
      </c>
      <c r="B515" s="27"/>
      <c r="C515" s="28" t="s">
        <v>51</v>
      </c>
    </row>
    <row r="516" spans="1:3" x14ac:dyDescent="0.2">
      <c r="A516" s="27" t="s">
        <v>690</v>
      </c>
      <c r="B516" s="27"/>
      <c r="C516" s="28" t="s">
        <v>51</v>
      </c>
    </row>
    <row r="517" spans="1:3" x14ac:dyDescent="0.2">
      <c r="A517" s="27" t="s">
        <v>691</v>
      </c>
      <c r="B517" s="27"/>
      <c r="C517" s="28" t="s">
        <v>51</v>
      </c>
    </row>
    <row r="518" spans="1:3" x14ac:dyDescent="0.2">
      <c r="A518" s="27" t="s">
        <v>692</v>
      </c>
      <c r="B518" s="27"/>
      <c r="C518" s="28" t="s">
        <v>51</v>
      </c>
    </row>
    <row r="519" spans="1:3" x14ac:dyDescent="0.2">
      <c r="A519" s="27" t="s">
        <v>693</v>
      </c>
      <c r="B519" s="27"/>
      <c r="C519" s="28" t="s">
        <v>51</v>
      </c>
    </row>
    <row r="520" spans="1:3" x14ac:dyDescent="0.2">
      <c r="A520" s="27" t="s">
        <v>694</v>
      </c>
      <c r="B520" s="27"/>
      <c r="C520" s="28" t="s">
        <v>51</v>
      </c>
    </row>
    <row r="521" spans="1:3" x14ac:dyDescent="0.2">
      <c r="A521" s="27" t="s">
        <v>695</v>
      </c>
      <c r="B521" s="27"/>
      <c r="C521" s="28" t="s">
        <v>51</v>
      </c>
    </row>
    <row r="522" spans="1:3" x14ac:dyDescent="0.2">
      <c r="A522" s="27" t="s">
        <v>696</v>
      </c>
      <c r="B522" s="27"/>
      <c r="C522" s="28" t="s">
        <v>51</v>
      </c>
    </row>
    <row r="523" spans="1:3" x14ac:dyDescent="0.2">
      <c r="A523" s="27" t="s">
        <v>697</v>
      </c>
      <c r="B523" s="27"/>
      <c r="C523" s="28" t="s">
        <v>51</v>
      </c>
    </row>
    <row r="524" spans="1:3" x14ac:dyDescent="0.2">
      <c r="A524" s="27" t="s">
        <v>698</v>
      </c>
      <c r="B524" s="27"/>
      <c r="C524" s="28" t="s">
        <v>51</v>
      </c>
    </row>
    <row r="525" spans="1:3" x14ac:dyDescent="0.2">
      <c r="A525" s="27" t="s">
        <v>699</v>
      </c>
      <c r="B525" s="27"/>
      <c r="C525" s="28" t="s">
        <v>51</v>
      </c>
    </row>
    <row r="526" spans="1:3" x14ac:dyDescent="0.2">
      <c r="A526" s="27" t="s">
        <v>700</v>
      </c>
      <c r="B526" s="27"/>
      <c r="C526" s="28" t="s">
        <v>51</v>
      </c>
    </row>
    <row r="527" spans="1:3" x14ac:dyDescent="0.2">
      <c r="A527" s="27" t="s">
        <v>701</v>
      </c>
      <c r="B527" s="27"/>
      <c r="C527" s="28" t="s">
        <v>51</v>
      </c>
    </row>
    <row r="528" spans="1:3" x14ac:dyDescent="0.2">
      <c r="A528" s="27" t="s">
        <v>702</v>
      </c>
      <c r="B528" s="27"/>
      <c r="C528" s="28" t="s">
        <v>51</v>
      </c>
    </row>
    <row r="529" spans="1:3" x14ac:dyDescent="0.2">
      <c r="A529" s="27" t="s">
        <v>703</v>
      </c>
      <c r="B529" s="27"/>
      <c r="C529" s="28" t="s">
        <v>51</v>
      </c>
    </row>
    <row r="530" spans="1:3" x14ac:dyDescent="0.2">
      <c r="A530" s="27" t="s">
        <v>704</v>
      </c>
      <c r="B530" s="27"/>
      <c r="C530" s="28" t="s">
        <v>51</v>
      </c>
    </row>
    <row r="531" spans="1:3" x14ac:dyDescent="0.2">
      <c r="A531" s="27" t="s">
        <v>705</v>
      </c>
      <c r="B531" s="27"/>
      <c r="C531" s="28" t="s">
        <v>51</v>
      </c>
    </row>
    <row r="532" spans="1:3" x14ac:dyDescent="0.2">
      <c r="A532" s="27" t="s">
        <v>706</v>
      </c>
      <c r="B532" s="27"/>
      <c r="C532" s="28" t="s">
        <v>51</v>
      </c>
    </row>
    <row r="533" spans="1:3" x14ac:dyDescent="0.2">
      <c r="A533" s="27" t="s">
        <v>707</v>
      </c>
      <c r="B533" s="27"/>
      <c r="C533" s="28" t="s">
        <v>51</v>
      </c>
    </row>
    <row r="534" spans="1:3" x14ac:dyDescent="0.2">
      <c r="A534" s="27" t="s">
        <v>708</v>
      </c>
      <c r="B534" s="27" t="s">
        <v>709</v>
      </c>
      <c r="C534" s="28" t="s">
        <v>51</v>
      </c>
    </row>
    <row r="535" spans="1:3" x14ac:dyDescent="0.2">
      <c r="A535" s="27" t="s">
        <v>710</v>
      </c>
      <c r="B535" s="27"/>
      <c r="C535" s="28" t="s">
        <v>51</v>
      </c>
    </row>
    <row r="536" spans="1:3" x14ac:dyDescent="0.2">
      <c r="A536" s="27" t="s">
        <v>711</v>
      </c>
      <c r="B536" s="27"/>
      <c r="C536" s="28" t="s">
        <v>51</v>
      </c>
    </row>
    <row r="537" spans="1:3" x14ac:dyDescent="0.2">
      <c r="A537" s="27" t="s">
        <v>712</v>
      </c>
      <c r="B537" s="27"/>
      <c r="C537" s="28" t="s">
        <v>51</v>
      </c>
    </row>
    <row r="538" spans="1:3" x14ac:dyDescent="0.2">
      <c r="A538" s="27" t="s">
        <v>713</v>
      </c>
      <c r="B538" s="27"/>
      <c r="C538" s="28" t="s">
        <v>51</v>
      </c>
    </row>
    <row r="539" spans="1:3" x14ac:dyDescent="0.2">
      <c r="A539" s="27" t="s">
        <v>714</v>
      </c>
      <c r="B539" s="27"/>
      <c r="C539" s="28" t="s">
        <v>51</v>
      </c>
    </row>
    <row r="540" spans="1:3" x14ac:dyDescent="0.2">
      <c r="A540" s="27" t="s">
        <v>715</v>
      </c>
      <c r="B540" s="27"/>
      <c r="C540" s="28" t="s">
        <v>51</v>
      </c>
    </row>
    <row r="541" spans="1:3" x14ac:dyDescent="0.2">
      <c r="A541" s="27" t="s">
        <v>716</v>
      </c>
      <c r="B541" s="27"/>
      <c r="C541" s="28" t="s">
        <v>51</v>
      </c>
    </row>
    <row r="542" spans="1:3" x14ac:dyDescent="0.2">
      <c r="A542" s="27" t="s">
        <v>717</v>
      </c>
      <c r="B542" s="27"/>
      <c r="C542" s="28" t="s">
        <v>51</v>
      </c>
    </row>
    <row r="543" spans="1:3" x14ac:dyDescent="0.2">
      <c r="A543" s="27" t="s">
        <v>718</v>
      </c>
      <c r="B543" s="27"/>
      <c r="C543" s="28" t="s">
        <v>51</v>
      </c>
    </row>
    <row r="544" spans="1:3" x14ac:dyDescent="0.2">
      <c r="A544" s="27" t="s">
        <v>719</v>
      </c>
      <c r="B544" s="27"/>
      <c r="C544" s="28" t="s">
        <v>51</v>
      </c>
    </row>
    <row r="545" spans="1:3" x14ac:dyDescent="0.2">
      <c r="A545" s="27" t="s">
        <v>720</v>
      </c>
      <c r="B545" s="27"/>
      <c r="C545" s="28" t="s">
        <v>51</v>
      </c>
    </row>
    <row r="546" spans="1:3" x14ac:dyDescent="0.2">
      <c r="A546" s="27" t="s">
        <v>721</v>
      </c>
      <c r="B546" s="27"/>
      <c r="C546" s="28" t="s">
        <v>51</v>
      </c>
    </row>
    <row r="547" spans="1:3" x14ac:dyDescent="0.2">
      <c r="A547" s="27" t="s">
        <v>722</v>
      </c>
      <c r="B547" s="27"/>
      <c r="C547" s="28" t="s">
        <v>51</v>
      </c>
    </row>
    <row r="548" spans="1:3" x14ac:dyDescent="0.2">
      <c r="A548" s="27" t="s">
        <v>723</v>
      </c>
      <c r="B548" s="27"/>
      <c r="C548" s="28" t="s">
        <v>51</v>
      </c>
    </row>
    <row r="549" spans="1:3" x14ac:dyDescent="0.2">
      <c r="A549" s="27" t="s">
        <v>724</v>
      </c>
      <c r="B549" s="27"/>
      <c r="C549" s="28" t="s">
        <v>51</v>
      </c>
    </row>
    <row r="550" spans="1:3" x14ac:dyDescent="0.2">
      <c r="A550" s="27" t="s">
        <v>725</v>
      </c>
      <c r="B550" s="27"/>
      <c r="C550" s="28" t="s">
        <v>51</v>
      </c>
    </row>
    <row r="551" spans="1:3" x14ac:dyDescent="0.2">
      <c r="A551" s="27" t="s">
        <v>726</v>
      </c>
      <c r="B551" s="27"/>
      <c r="C551" s="28" t="s">
        <v>51</v>
      </c>
    </row>
    <row r="552" spans="1:3" x14ac:dyDescent="0.2">
      <c r="A552" s="27" t="s">
        <v>727</v>
      </c>
      <c r="B552" s="27"/>
      <c r="C552" s="28" t="s">
        <v>51</v>
      </c>
    </row>
    <row r="553" spans="1:3" x14ac:dyDescent="0.2">
      <c r="A553" s="27" t="s">
        <v>728</v>
      </c>
      <c r="B553" s="27" t="s">
        <v>709</v>
      </c>
      <c r="C553" s="28" t="s">
        <v>51</v>
      </c>
    </row>
    <row r="554" spans="1:3" x14ac:dyDescent="0.2">
      <c r="A554" s="27" t="s">
        <v>729</v>
      </c>
      <c r="B554" s="27"/>
      <c r="C554" s="28" t="s">
        <v>51</v>
      </c>
    </row>
    <row r="555" spans="1:3" x14ac:dyDescent="0.2">
      <c r="A555" s="27" t="s">
        <v>730</v>
      </c>
      <c r="B555" s="27"/>
      <c r="C555" s="28" t="s">
        <v>51</v>
      </c>
    </row>
    <row r="556" spans="1:3" x14ac:dyDescent="0.2">
      <c r="A556" s="27" t="s">
        <v>731</v>
      </c>
      <c r="B556" s="27"/>
      <c r="C556" s="28" t="s">
        <v>51</v>
      </c>
    </row>
    <row r="557" spans="1:3" x14ac:dyDescent="0.2">
      <c r="A557" s="27" t="s">
        <v>732</v>
      </c>
      <c r="B557" s="27"/>
      <c r="C557" s="28" t="s">
        <v>51</v>
      </c>
    </row>
    <row r="558" spans="1:3" x14ac:dyDescent="0.2">
      <c r="A558" s="27" t="s">
        <v>733</v>
      </c>
      <c r="B558" s="27"/>
      <c r="C558" s="28" t="s">
        <v>51</v>
      </c>
    </row>
    <row r="559" spans="1:3" x14ac:dyDescent="0.2">
      <c r="A559" s="27" t="s">
        <v>734</v>
      </c>
      <c r="B559" s="27"/>
      <c r="C559" s="28" t="s">
        <v>51</v>
      </c>
    </row>
    <row r="560" spans="1:3" x14ac:dyDescent="0.2">
      <c r="A560" s="27" t="s">
        <v>735</v>
      </c>
      <c r="B560" s="27"/>
      <c r="C560" s="28" t="s">
        <v>51</v>
      </c>
    </row>
    <row r="561" spans="1:3" x14ac:dyDescent="0.2">
      <c r="A561" s="27" t="s">
        <v>736</v>
      </c>
      <c r="B561" s="27"/>
      <c r="C561" s="28" t="s">
        <v>51</v>
      </c>
    </row>
    <row r="562" spans="1:3" x14ac:dyDescent="0.2">
      <c r="A562" s="27" t="s">
        <v>737</v>
      </c>
      <c r="B562" s="27"/>
      <c r="C562" s="28" t="s">
        <v>51</v>
      </c>
    </row>
    <row r="563" spans="1:3" x14ac:dyDescent="0.2">
      <c r="A563" s="27" t="s">
        <v>738</v>
      </c>
      <c r="B563" s="27"/>
      <c r="C563" s="28" t="s">
        <v>51</v>
      </c>
    </row>
    <row r="564" spans="1:3" x14ac:dyDescent="0.2">
      <c r="A564" s="27" t="s">
        <v>739</v>
      </c>
      <c r="B564" s="27"/>
      <c r="C564" s="28" t="s">
        <v>51</v>
      </c>
    </row>
    <row r="565" spans="1:3" x14ac:dyDescent="0.2">
      <c r="A565" s="27" t="s">
        <v>740</v>
      </c>
      <c r="B565" s="27"/>
      <c r="C565" s="28" t="s">
        <v>51</v>
      </c>
    </row>
    <row r="566" spans="1:3" x14ac:dyDescent="0.2">
      <c r="A566" s="27" t="s">
        <v>741</v>
      </c>
      <c r="B566" s="27"/>
      <c r="C566" s="28" t="s">
        <v>51</v>
      </c>
    </row>
    <row r="567" spans="1:3" x14ac:dyDescent="0.2">
      <c r="A567" s="27" t="s">
        <v>742</v>
      </c>
      <c r="B567" s="27"/>
      <c r="C567" s="28" t="s">
        <v>51</v>
      </c>
    </row>
    <row r="568" spans="1:3" x14ac:dyDescent="0.2">
      <c r="A568" s="27" t="s">
        <v>743</v>
      </c>
      <c r="B568" s="27"/>
      <c r="C568" s="28" t="s">
        <v>51</v>
      </c>
    </row>
    <row r="569" spans="1:3" x14ac:dyDescent="0.2">
      <c r="A569" s="27" t="s">
        <v>189</v>
      </c>
      <c r="B569" s="27"/>
      <c r="C569" s="28" t="s">
        <v>51</v>
      </c>
    </row>
    <row r="570" spans="1:3" x14ac:dyDescent="0.2">
      <c r="A570" s="27" t="s">
        <v>744</v>
      </c>
      <c r="B570" s="27"/>
      <c r="C570" s="28" t="s">
        <v>51</v>
      </c>
    </row>
    <row r="571" spans="1:3" x14ac:dyDescent="0.2">
      <c r="A571" s="27" t="s">
        <v>745</v>
      </c>
      <c r="B571" s="27"/>
      <c r="C571" s="28" t="s">
        <v>51</v>
      </c>
    </row>
    <row r="572" spans="1:3" x14ac:dyDescent="0.2">
      <c r="A572" s="27" t="s">
        <v>746</v>
      </c>
      <c r="B572" s="27"/>
      <c r="C572" s="28" t="s">
        <v>51</v>
      </c>
    </row>
    <row r="573" spans="1:3" x14ac:dyDescent="0.2">
      <c r="A573" s="27" t="s">
        <v>747</v>
      </c>
      <c r="B573" s="27"/>
      <c r="C573" s="28" t="s">
        <v>51</v>
      </c>
    </row>
    <row r="574" spans="1:3" x14ac:dyDescent="0.2">
      <c r="A574" s="27" t="s">
        <v>748</v>
      </c>
      <c r="B574" s="27"/>
      <c r="C574" s="28" t="s">
        <v>51</v>
      </c>
    </row>
    <row r="575" spans="1:3" x14ac:dyDescent="0.2">
      <c r="A575" s="27" t="s">
        <v>749</v>
      </c>
      <c r="B575" s="27"/>
      <c r="C575" s="28" t="s">
        <v>51</v>
      </c>
    </row>
    <row r="576" spans="1:3" x14ac:dyDescent="0.2">
      <c r="A576" s="27" t="s">
        <v>750</v>
      </c>
      <c r="B576" s="27"/>
      <c r="C576" s="28" t="s">
        <v>51</v>
      </c>
    </row>
    <row r="577" spans="1:3" x14ac:dyDescent="0.2">
      <c r="A577" s="27" t="s">
        <v>751</v>
      </c>
      <c r="B577" s="27"/>
      <c r="C577" s="28" t="s">
        <v>51</v>
      </c>
    </row>
    <row r="578" spans="1:3" x14ac:dyDescent="0.2">
      <c r="A578" s="27" t="s">
        <v>752</v>
      </c>
      <c r="B578" s="27"/>
      <c r="C578" s="28" t="s">
        <v>51</v>
      </c>
    </row>
    <row r="579" spans="1:3" x14ac:dyDescent="0.2">
      <c r="A579" s="27" t="s">
        <v>194</v>
      </c>
      <c r="B579" s="27" t="s">
        <v>753</v>
      </c>
      <c r="C579" s="28" t="s">
        <v>51</v>
      </c>
    </row>
    <row r="580" spans="1:3" x14ac:dyDescent="0.2">
      <c r="A580" s="27" t="s">
        <v>754</v>
      </c>
      <c r="B580" s="27"/>
      <c r="C580" s="28" t="s">
        <v>51</v>
      </c>
    </row>
    <row r="581" spans="1:3" x14ac:dyDescent="0.2">
      <c r="A581" s="27" t="s">
        <v>755</v>
      </c>
      <c r="B581" s="27"/>
      <c r="C581" s="28" t="s">
        <v>51</v>
      </c>
    </row>
    <row r="582" spans="1:3" x14ac:dyDescent="0.2">
      <c r="A582" s="27" t="s">
        <v>756</v>
      </c>
      <c r="B582" s="27"/>
      <c r="C582" s="28" t="s">
        <v>51</v>
      </c>
    </row>
    <row r="583" spans="1:3" x14ac:dyDescent="0.2">
      <c r="A583" s="27" t="s">
        <v>183</v>
      </c>
      <c r="B583" s="27"/>
      <c r="C583" s="28" t="s">
        <v>51</v>
      </c>
    </row>
    <row r="584" spans="1:3" x14ac:dyDescent="0.2">
      <c r="A584" s="27" t="s">
        <v>757</v>
      </c>
      <c r="B584" s="27"/>
      <c r="C584" s="28" t="s">
        <v>51</v>
      </c>
    </row>
    <row r="585" spans="1:3" x14ac:dyDescent="0.2">
      <c r="A585" s="27" t="s">
        <v>758</v>
      </c>
      <c r="B585" s="27"/>
      <c r="C585" s="28" t="s">
        <v>51</v>
      </c>
    </row>
    <row r="586" spans="1:3" x14ac:dyDescent="0.2">
      <c r="A586" s="27" t="s">
        <v>759</v>
      </c>
      <c r="B586" s="27"/>
      <c r="C586" s="28" t="s">
        <v>51</v>
      </c>
    </row>
    <row r="587" spans="1:3" x14ac:dyDescent="0.2">
      <c r="A587" s="27" t="s">
        <v>760</v>
      </c>
      <c r="B587" s="27"/>
      <c r="C587" s="28" t="s">
        <v>51</v>
      </c>
    </row>
    <row r="588" spans="1:3" x14ac:dyDescent="0.2">
      <c r="A588" s="27" t="s">
        <v>761</v>
      </c>
      <c r="B588" s="27"/>
      <c r="C588" s="28" t="s">
        <v>51</v>
      </c>
    </row>
    <row r="589" spans="1:3" x14ac:dyDescent="0.2">
      <c r="A589" s="27" t="s">
        <v>762</v>
      </c>
      <c r="B589" s="27"/>
      <c r="C589" s="28" t="s">
        <v>51</v>
      </c>
    </row>
    <row r="590" spans="1:3" x14ac:dyDescent="0.2">
      <c r="A590" s="27" t="s">
        <v>763</v>
      </c>
      <c r="B590" s="27"/>
      <c r="C590" s="28" t="s">
        <v>51</v>
      </c>
    </row>
    <row r="591" spans="1:3" x14ac:dyDescent="0.2">
      <c r="A591" s="27" t="s">
        <v>764</v>
      </c>
      <c r="B591" s="27"/>
      <c r="C591" s="28" t="s">
        <v>51</v>
      </c>
    </row>
    <row r="592" spans="1:3" x14ac:dyDescent="0.2">
      <c r="A592" s="27" t="s">
        <v>765</v>
      </c>
      <c r="B592" s="27"/>
      <c r="C592" s="28" t="s">
        <v>51</v>
      </c>
    </row>
    <row r="593" spans="1:3" x14ac:dyDescent="0.2">
      <c r="A593" s="27" t="s">
        <v>766</v>
      </c>
      <c r="B593" s="27"/>
      <c r="C593" s="28" t="s">
        <v>51</v>
      </c>
    </row>
    <row r="594" spans="1:3" x14ac:dyDescent="0.2">
      <c r="A594" s="27" t="s">
        <v>767</v>
      </c>
      <c r="B594" s="27"/>
      <c r="C594" s="28" t="s">
        <v>51</v>
      </c>
    </row>
    <row r="595" spans="1:3" x14ac:dyDescent="0.2">
      <c r="A595" s="27" t="s">
        <v>768</v>
      </c>
      <c r="B595" s="27"/>
      <c r="C595" s="28" t="s">
        <v>51</v>
      </c>
    </row>
    <row r="596" spans="1:3" x14ac:dyDescent="0.2">
      <c r="A596" s="27" t="s">
        <v>769</v>
      </c>
      <c r="B596" s="27"/>
      <c r="C596" s="28" t="s">
        <v>51</v>
      </c>
    </row>
    <row r="597" spans="1:3" x14ac:dyDescent="0.2">
      <c r="A597" s="27" t="s">
        <v>770</v>
      </c>
      <c r="B597" s="27"/>
      <c r="C597" s="28" t="s">
        <v>51</v>
      </c>
    </row>
    <row r="598" spans="1:3" x14ac:dyDescent="0.2">
      <c r="A598" s="27" t="s">
        <v>771</v>
      </c>
      <c r="B598" s="27"/>
      <c r="C598" s="28" t="s">
        <v>51</v>
      </c>
    </row>
    <row r="599" spans="1:3" x14ac:dyDescent="0.2">
      <c r="A599" s="27" t="s">
        <v>772</v>
      </c>
      <c r="B599" s="27"/>
      <c r="C599" s="28" t="s">
        <v>51</v>
      </c>
    </row>
    <row r="600" spans="1:3" x14ac:dyDescent="0.2">
      <c r="A600" s="27" t="s">
        <v>773</v>
      </c>
      <c r="B600" s="27"/>
      <c r="C600" s="28" t="s">
        <v>51</v>
      </c>
    </row>
    <row r="601" spans="1:3" x14ac:dyDescent="0.2">
      <c r="A601" s="27" t="s">
        <v>774</v>
      </c>
      <c r="B601" s="27"/>
      <c r="C601" s="28" t="s">
        <v>51</v>
      </c>
    </row>
    <row r="602" spans="1:3" x14ac:dyDescent="0.2">
      <c r="A602" s="27" t="s">
        <v>144</v>
      </c>
      <c r="B602" s="27"/>
      <c r="C602" s="28" t="s">
        <v>51</v>
      </c>
    </row>
    <row r="603" spans="1:3" x14ac:dyDescent="0.2">
      <c r="A603" s="27" t="s">
        <v>775</v>
      </c>
      <c r="B603" s="27"/>
      <c r="C603" s="28" t="s">
        <v>51</v>
      </c>
    </row>
    <row r="604" spans="1:3" x14ac:dyDescent="0.2">
      <c r="A604" s="27" t="s">
        <v>776</v>
      </c>
      <c r="B604" s="27"/>
      <c r="C604" s="28" t="s">
        <v>51</v>
      </c>
    </row>
    <row r="605" spans="1:3" x14ac:dyDescent="0.2">
      <c r="A605" s="27" t="s">
        <v>777</v>
      </c>
      <c r="B605" s="27"/>
      <c r="C605" s="28" t="s">
        <v>51</v>
      </c>
    </row>
    <row r="606" spans="1:3" x14ac:dyDescent="0.2">
      <c r="A606" s="27" t="s">
        <v>778</v>
      </c>
      <c r="B606" s="27"/>
      <c r="C606" s="28" t="s">
        <v>51</v>
      </c>
    </row>
    <row r="607" spans="1:3" x14ac:dyDescent="0.2">
      <c r="A607" s="27" t="s">
        <v>779</v>
      </c>
      <c r="B607" s="27"/>
      <c r="C607" s="28" t="s">
        <v>51</v>
      </c>
    </row>
    <row r="608" spans="1:3" x14ac:dyDescent="0.2">
      <c r="A608" s="27" t="s">
        <v>780</v>
      </c>
      <c r="B608" s="27"/>
      <c r="C608" s="28" t="s">
        <v>51</v>
      </c>
    </row>
    <row r="609" spans="1:3" x14ac:dyDescent="0.2">
      <c r="A609" s="27" t="s">
        <v>781</v>
      </c>
      <c r="B609" s="27"/>
      <c r="C609" s="28" t="s">
        <v>51</v>
      </c>
    </row>
    <row r="610" spans="1:3" x14ac:dyDescent="0.2">
      <c r="A610" s="27" t="s">
        <v>186</v>
      </c>
      <c r="B610" s="27"/>
      <c r="C610" s="28" t="s">
        <v>51</v>
      </c>
    </row>
    <row r="611" spans="1:3" x14ac:dyDescent="0.2">
      <c r="A611" s="27" t="s">
        <v>782</v>
      </c>
      <c r="B611" s="27"/>
      <c r="C611" s="28" t="s">
        <v>51</v>
      </c>
    </row>
    <row r="612" spans="1:3" x14ac:dyDescent="0.2">
      <c r="A612" s="27" t="s">
        <v>783</v>
      </c>
      <c r="B612" s="27"/>
      <c r="C612" s="28" t="s">
        <v>51</v>
      </c>
    </row>
    <row r="613" spans="1:3" x14ac:dyDescent="0.2">
      <c r="A613" s="27" t="s">
        <v>784</v>
      </c>
      <c r="B613" s="27"/>
      <c r="C613" s="28" t="s">
        <v>113</v>
      </c>
    </row>
    <row r="614" spans="1:3" x14ac:dyDescent="0.2">
      <c r="A614" s="27" t="s">
        <v>785</v>
      </c>
      <c r="B614" s="27"/>
      <c r="C614" s="28" t="s">
        <v>113</v>
      </c>
    </row>
    <row r="615" spans="1:3" x14ac:dyDescent="0.2">
      <c r="A615" s="27" t="s">
        <v>786</v>
      </c>
      <c r="B615" s="27"/>
      <c r="C615" s="28" t="s">
        <v>113</v>
      </c>
    </row>
    <row r="616" spans="1:3" x14ac:dyDescent="0.2">
      <c r="A616" s="27" t="s">
        <v>787</v>
      </c>
      <c r="B616" s="27"/>
      <c r="C616" s="28" t="s">
        <v>113</v>
      </c>
    </row>
    <row r="617" spans="1:3" x14ac:dyDescent="0.2">
      <c r="A617" s="27" t="s">
        <v>788</v>
      </c>
      <c r="B617" s="27"/>
      <c r="C617" s="28" t="s">
        <v>113</v>
      </c>
    </row>
    <row r="618" spans="1:3" x14ac:dyDescent="0.2">
      <c r="A618" s="27" t="s">
        <v>789</v>
      </c>
      <c r="B618" s="27"/>
      <c r="C618" s="28" t="s">
        <v>113</v>
      </c>
    </row>
    <row r="619" spans="1:3" x14ac:dyDescent="0.2">
      <c r="A619" s="27" t="s">
        <v>790</v>
      </c>
      <c r="B619" s="27"/>
      <c r="C619" s="28" t="s">
        <v>113</v>
      </c>
    </row>
    <row r="620" spans="1:3" x14ac:dyDescent="0.2">
      <c r="A620" s="27" t="s">
        <v>791</v>
      </c>
      <c r="B620" s="27"/>
      <c r="C620" s="28" t="s">
        <v>113</v>
      </c>
    </row>
    <row r="621" spans="1:3" x14ac:dyDescent="0.2">
      <c r="A621" s="27" t="s">
        <v>792</v>
      </c>
      <c r="B621" s="27"/>
      <c r="C621" s="28" t="s">
        <v>113</v>
      </c>
    </row>
    <row r="622" spans="1:3" x14ac:dyDescent="0.2">
      <c r="A622" s="27" t="s">
        <v>793</v>
      </c>
      <c r="B622" s="27"/>
      <c r="C622" s="28" t="s">
        <v>113</v>
      </c>
    </row>
    <row r="623" spans="1:3" x14ac:dyDescent="0.2">
      <c r="A623" s="27" t="s">
        <v>794</v>
      </c>
      <c r="B623" s="27"/>
      <c r="C623" s="28" t="s">
        <v>113</v>
      </c>
    </row>
    <row r="624" spans="1:3" x14ac:dyDescent="0.2">
      <c r="A624" s="27" t="s">
        <v>795</v>
      </c>
      <c r="B624" s="27"/>
      <c r="C624" s="28" t="s">
        <v>113</v>
      </c>
    </row>
    <row r="625" spans="1:3" x14ac:dyDescent="0.2">
      <c r="A625" s="27" t="s">
        <v>796</v>
      </c>
      <c r="B625" s="27"/>
      <c r="C625" s="28" t="s">
        <v>113</v>
      </c>
    </row>
    <row r="626" spans="1:3" x14ac:dyDescent="0.2">
      <c r="A626" s="27" t="s">
        <v>797</v>
      </c>
      <c r="B626" s="27"/>
      <c r="C626" s="28" t="s">
        <v>113</v>
      </c>
    </row>
    <row r="627" spans="1:3" x14ac:dyDescent="0.2">
      <c r="A627" s="27" t="s">
        <v>798</v>
      </c>
      <c r="B627" s="27"/>
      <c r="C627" s="28" t="s">
        <v>113</v>
      </c>
    </row>
    <row r="628" spans="1:3" x14ac:dyDescent="0.2">
      <c r="A628" s="27" t="s">
        <v>799</v>
      </c>
      <c r="B628" s="27"/>
      <c r="C628" s="28" t="s">
        <v>113</v>
      </c>
    </row>
    <row r="629" spans="1:3" x14ac:dyDescent="0.2">
      <c r="A629" s="27" t="s">
        <v>800</v>
      </c>
      <c r="B629" s="27"/>
      <c r="C629" s="28" t="s">
        <v>113</v>
      </c>
    </row>
    <row r="630" spans="1:3" x14ac:dyDescent="0.2">
      <c r="A630" s="27" t="s">
        <v>801</v>
      </c>
      <c r="B630" s="27"/>
      <c r="C630" s="28" t="s">
        <v>113</v>
      </c>
    </row>
    <row r="631" spans="1:3" x14ac:dyDescent="0.2">
      <c r="A631" s="27" t="s">
        <v>802</v>
      </c>
      <c r="B631" s="27"/>
      <c r="C631" s="28" t="s">
        <v>113</v>
      </c>
    </row>
    <row r="632" spans="1:3" x14ac:dyDescent="0.2">
      <c r="A632" s="27" t="s">
        <v>803</v>
      </c>
      <c r="B632" s="27"/>
      <c r="C632" s="28" t="s">
        <v>113</v>
      </c>
    </row>
    <row r="633" spans="1:3" x14ac:dyDescent="0.2">
      <c r="A633" s="27" t="s">
        <v>804</v>
      </c>
      <c r="B633" s="27"/>
      <c r="C633" s="28" t="s">
        <v>113</v>
      </c>
    </row>
    <row r="634" spans="1:3" x14ac:dyDescent="0.2">
      <c r="A634" s="27" t="s">
        <v>805</v>
      </c>
      <c r="B634" s="27"/>
      <c r="C634" s="28" t="s">
        <v>113</v>
      </c>
    </row>
    <row r="635" spans="1:3" x14ac:dyDescent="0.2">
      <c r="A635" s="27" t="s">
        <v>806</v>
      </c>
      <c r="B635" s="27"/>
      <c r="C635" s="28" t="s">
        <v>113</v>
      </c>
    </row>
    <row r="636" spans="1:3" x14ac:dyDescent="0.2">
      <c r="A636" s="27" t="s">
        <v>807</v>
      </c>
      <c r="B636" s="27"/>
      <c r="C636" s="28" t="s">
        <v>113</v>
      </c>
    </row>
    <row r="637" spans="1:3" x14ac:dyDescent="0.2">
      <c r="A637" s="27" t="s">
        <v>808</v>
      </c>
      <c r="B637" s="27"/>
      <c r="C637" s="28" t="s">
        <v>113</v>
      </c>
    </row>
    <row r="638" spans="1:3" x14ac:dyDescent="0.2">
      <c r="A638" s="27" t="s">
        <v>809</v>
      </c>
      <c r="B638" s="27"/>
      <c r="C638" s="28" t="s">
        <v>113</v>
      </c>
    </row>
    <row r="639" spans="1:3" x14ac:dyDescent="0.2">
      <c r="A639" s="27" t="s">
        <v>810</v>
      </c>
      <c r="B639" s="27"/>
      <c r="C639" s="28" t="s">
        <v>113</v>
      </c>
    </row>
    <row r="640" spans="1:3" x14ac:dyDescent="0.2">
      <c r="A640" s="27" t="s">
        <v>811</v>
      </c>
      <c r="B640" s="27"/>
      <c r="C640" s="28" t="s">
        <v>113</v>
      </c>
    </row>
    <row r="641" spans="1:3" x14ac:dyDescent="0.2">
      <c r="A641" s="27" t="s">
        <v>812</v>
      </c>
      <c r="B641" s="27"/>
      <c r="C641" s="28" t="s">
        <v>113</v>
      </c>
    </row>
    <row r="642" spans="1:3" x14ac:dyDescent="0.2">
      <c r="A642" s="27" t="s">
        <v>210</v>
      </c>
      <c r="B642" s="27"/>
      <c r="C642" s="28" t="s">
        <v>113</v>
      </c>
    </row>
    <row r="643" spans="1:3" x14ac:dyDescent="0.2">
      <c r="A643" s="27" t="s">
        <v>813</v>
      </c>
      <c r="B643" s="27"/>
      <c r="C643" s="28" t="s">
        <v>113</v>
      </c>
    </row>
    <row r="644" spans="1:3" x14ac:dyDescent="0.2">
      <c r="A644" s="27" t="s">
        <v>814</v>
      </c>
      <c r="B644" s="27"/>
      <c r="C644" s="28" t="s">
        <v>113</v>
      </c>
    </row>
    <row r="645" spans="1:3" x14ac:dyDescent="0.2">
      <c r="A645" s="27" t="s">
        <v>815</v>
      </c>
      <c r="B645" s="27"/>
      <c r="C645" s="28" t="s">
        <v>63</v>
      </c>
    </row>
    <row r="646" spans="1:3" x14ac:dyDescent="0.2">
      <c r="A646" s="27" t="s">
        <v>816</v>
      </c>
      <c r="B646" s="27"/>
      <c r="C646" s="28" t="s">
        <v>63</v>
      </c>
    </row>
    <row r="647" spans="1:3" x14ac:dyDescent="0.2">
      <c r="A647" s="27" t="s">
        <v>817</v>
      </c>
      <c r="B647" s="27"/>
      <c r="C647" s="28" t="s">
        <v>63</v>
      </c>
    </row>
    <row r="648" spans="1:3" x14ac:dyDescent="0.2">
      <c r="A648" s="27" t="s">
        <v>818</v>
      </c>
      <c r="B648" s="27"/>
      <c r="C648" s="28" t="s">
        <v>63</v>
      </c>
    </row>
    <row r="649" spans="1:3" x14ac:dyDescent="0.2">
      <c r="A649" s="27" t="s">
        <v>819</v>
      </c>
      <c r="B649" s="27"/>
      <c r="C649" s="28" t="s">
        <v>63</v>
      </c>
    </row>
    <row r="650" spans="1:3" x14ac:dyDescent="0.2">
      <c r="A650" s="27" t="s">
        <v>820</v>
      </c>
      <c r="B650" s="27"/>
      <c r="C650" s="28" t="s">
        <v>63</v>
      </c>
    </row>
    <row r="651" spans="1:3" x14ac:dyDescent="0.2">
      <c r="A651" s="27" t="s">
        <v>821</v>
      </c>
      <c r="B651" s="27"/>
      <c r="C651" s="28" t="s">
        <v>63</v>
      </c>
    </row>
    <row r="652" spans="1:3" x14ac:dyDescent="0.2">
      <c r="A652" s="27" t="s">
        <v>822</v>
      </c>
      <c r="B652" s="27"/>
      <c r="C652" s="28" t="s">
        <v>63</v>
      </c>
    </row>
    <row r="653" spans="1:3" x14ac:dyDescent="0.2">
      <c r="A653" s="27" t="s">
        <v>823</v>
      </c>
      <c r="B653" s="27"/>
      <c r="C653" s="28" t="s">
        <v>63</v>
      </c>
    </row>
    <row r="654" spans="1:3" x14ac:dyDescent="0.2">
      <c r="A654" s="27" t="s">
        <v>824</v>
      </c>
      <c r="B654" s="27"/>
      <c r="C654" s="28" t="s">
        <v>63</v>
      </c>
    </row>
    <row r="655" spans="1:3" x14ac:dyDescent="0.2">
      <c r="A655" s="27" t="s">
        <v>825</v>
      </c>
      <c r="B655" s="27"/>
      <c r="C655" s="28" t="s">
        <v>830</v>
      </c>
    </row>
    <row r="656" spans="1:3" x14ac:dyDescent="0.2">
      <c r="A656" s="27" t="s">
        <v>826</v>
      </c>
      <c r="B656" s="27"/>
      <c r="C656" s="28" t="s">
        <v>830</v>
      </c>
    </row>
    <row r="657" spans="1:3" x14ac:dyDescent="0.2">
      <c r="A657" s="27" t="s">
        <v>827</v>
      </c>
      <c r="B657" s="27"/>
      <c r="C657" s="28" t="s">
        <v>830</v>
      </c>
    </row>
    <row r="658" spans="1:3" x14ac:dyDescent="0.2">
      <c r="A658" s="27" t="s">
        <v>828</v>
      </c>
      <c r="B658" s="27"/>
      <c r="C658" s="28" t="s">
        <v>830</v>
      </c>
    </row>
    <row r="659" spans="1:3" x14ac:dyDescent="0.2">
      <c r="A659" s="27" t="s">
        <v>829</v>
      </c>
      <c r="B659" s="27"/>
      <c r="C659" s="28" t="s">
        <v>830</v>
      </c>
    </row>
    <row r="660" spans="1:3" x14ac:dyDescent="0.2">
      <c r="A660" s="27" t="s">
        <v>601</v>
      </c>
      <c r="B660" s="27"/>
      <c r="C660" s="28" t="s">
        <v>68</v>
      </c>
    </row>
    <row r="661" spans="1:3" x14ac:dyDescent="0.2">
      <c r="A661" s="27" t="s">
        <v>603</v>
      </c>
      <c r="B661" s="27"/>
      <c r="C661" s="28" t="s">
        <v>68</v>
      </c>
    </row>
    <row r="662" spans="1:3" x14ac:dyDescent="0.2">
      <c r="A662" s="27" t="s">
        <v>605</v>
      </c>
      <c r="B662" s="27"/>
      <c r="C662" s="28" t="s">
        <v>68</v>
      </c>
    </row>
    <row r="663" spans="1:3" x14ac:dyDescent="0.2">
      <c r="A663" s="27" t="s">
        <v>608</v>
      </c>
      <c r="B663" s="27"/>
      <c r="C663" s="28" t="s">
        <v>68</v>
      </c>
    </row>
    <row r="664" spans="1:3" x14ac:dyDescent="0.2">
      <c r="A664" s="27" t="s">
        <v>615</v>
      </c>
      <c r="B664" s="27"/>
      <c r="C664" s="28" t="s">
        <v>68</v>
      </c>
    </row>
    <row r="665" spans="1:3" x14ac:dyDescent="0.2">
      <c r="A665" s="27" t="s">
        <v>831</v>
      </c>
      <c r="B665" s="27"/>
      <c r="C665" s="28" t="s">
        <v>115</v>
      </c>
    </row>
    <row r="666" spans="1:3" x14ac:dyDescent="0.2">
      <c r="A666" s="27" t="s">
        <v>832</v>
      </c>
      <c r="B666" s="27"/>
      <c r="C666" s="28" t="s">
        <v>115</v>
      </c>
    </row>
    <row r="667" spans="1:3" x14ac:dyDescent="0.2">
      <c r="A667" s="27" t="s">
        <v>833</v>
      </c>
      <c r="B667" s="27"/>
      <c r="C667" s="28" t="s">
        <v>115</v>
      </c>
    </row>
    <row r="668" spans="1:3" x14ac:dyDescent="0.2">
      <c r="A668" s="27" t="s">
        <v>834</v>
      </c>
      <c r="B668" s="27"/>
      <c r="C668" s="28" t="s">
        <v>115</v>
      </c>
    </row>
    <row r="669" spans="1:3" x14ac:dyDescent="0.2">
      <c r="A669" s="27" t="s">
        <v>180</v>
      </c>
      <c r="B669" s="27"/>
      <c r="C669" s="28" t="s">
        <v>115</v>
      </c>
    </row>
    <row r="670" spans="1:3" x14ac:dyDescent="0.2">
      <c r="A670" s="27" t="s">
        <v>835</v>
      </c>
      <c r="B670" s="27"/>
      <c r="C670" s="28" t="s">
        <v>115</v>
      </c>
    </row>
    <row r="671" spans="1:3" x14ac:dyDescent="0.2">
      <c r="A671" s="27" t="s">
        <v>836</v>
      </c>
      <c r="B671" s="27"/>
      <c r="C671" s="28" t="s">
        <v>115</v>
      </c>
    </row>
    <row r="672" spans="1:3" x14ac:dyDescent="0.2">
      <c r="A672" s="27" t="s">
        <v>837</v>
      </c>
      <c r="B672" s="27"/>
      <c r="C672" s="28" t="s">
        <v>115</v>
      </c>
    </row>
    <row r="673" spans="1:3" x14ac:dyDescent="0.2">
      <c r="A673" s="27" t="s">
        <v>838</v>
      </c>
      <c r="B673" s="27"/>
      <c r="C673" s="28" t="s">
        <v>115</v>
      </c>
    </row>
    <row r="674" spans="1:3" x14ac:dyDescent="0.2">
      <c r="A674" s="27" t="s">
        <v>839</v>
      </c>
      <c r="B674" s="27"/>
      <c r="C674" s="28" t="s">
        <v>115</v>
      </c>
    </row>
    <row r="675" spans="1:3" x14ac:dyDescent="0.2">
      <c r="A675" s="27" t="s">
        <v>840</v>
      </c>
      <c r="B675" s="27"/>
      <c r="C675" s="28" t="s">
        <v>115</v>
      </c>
    </row>
    <row r="676" spans="1:3" x14ac:dyDescent="0.2">
      <c r="A676" s="27" t="s">
        <v>841</v>
      </c>
      <c r="B676" s="27"/>
      <c r="C676" s="28" t="s">
        <v>115</v>
      </c>
    </row>
    <row r="677" spans="1:3" x14ac:dyDescent="0.2">
      <c r="A677" s="27" t="s">
        <v>842</v>
      </c>
      <c r="B677" s="27"/>
      <c r="C677" s="28" t="s">
        <v>115</v>
      </c>
    </row>
    <row r="678" spans="1:3" x14ac:dyDescent="0.2">
      <c r="A678" s="27" t="s">
        <v>843</v>
      </c>
      <c r="B678" s="27"/>
      <c r="C678" s="28" t="s">
        <v>115</v>
      </c>
    </row>
    <row r="679" spans="1:3" x14ac:dyDescent="0.2">
      <c r="A679" s="27" t="s">
        <v>844</v>
      </c>
      <c r="B679" s="27"/>
      <c r="C679" s="28" t="s">
        <v>115</v>
      </c>
    </row>
    <row r="680" spans="1:3" x14ac:dyDescent="0.2">
      <c r="A680" s="27" t="s">
        <v>181</v>
      </c>
      <c r="B680" s="27"/>
      <c r="C680" s="28" t="s">
        <v>115</v>
      </c>
    </row>
    <row r="681" spans="1:3" x14ac:dyDescent="0.2">
      <c r="A681" s="27" t="s">
        <v>845</v>
      </c>
      <c r="B681" s="27"/>
      <c r="C681" s="28" t="s">
        <v>115</v>
      </c>
    </row>
    <row r="682" spans="1:3" x14ac:dyDescent="0.2">
      <c r="A682" s="27" t="s">
        <v>846</v>
      </c>
      <c r="B682" s="27"/>
      <c r="C682" s="28" t="s">
        <v>115</v>
      </c>
    </row>
    <row r="683" spans="1:3" x14ac:dyDescent="0.2">
      <c r="A683" s="27" t="s">
        <v>847</v>
      </c>
      <c r="B683" s="27"/>
      <c r="C683" s="28" t="s">
        <v>115</v>
      </c>
    </row>
    <row r="684" spans="1:3" x14ac:dyDescent="0.2">
      <c r="A684" s="27" t="s">
        <v>848</v>
      </c>
      <c r="B684" s="27"/>
      <c r="C684" s="28" t="s">
        <v>115</v>
      </c>
    </row>
    <row r="685" spans="1:3" x14ac:dyDescent="0.2">
      <c r="A685" s="27" t="s">
        <v>849</v>
      </c>
      <c r="B685" s="27"/>
      <c r="C685" s="28" t="s">
        <v>115</v>
      </c>
    </row>
    <row r="686" spans="1:3" x14ac:dyDescent="0.2">
      <c r="A686" s="27" t="s">
        <v>850</v>
      </c>
      <c r="B686" s="27"/>
      <c r="C686" s="28" t="s">
        <v>115</v>
      </c>
    </row>
    <row r="687" spans="1:3" x14ac:dyDescent="0.2">
      <c r="A687" s="27" t="s">
        <v>851</v>
      </c>
      <c r="B687" s="27"/>
      <c r="C687" s="28" t="s">
        <v>115</v>
      </c>
    </row>
    <row r="688" spans="1:3" x14ac:dyDescent="0.2">
      <c r="A688" s="27" t="s">
        <v>852</v>
      </c>
      <c r="B688" s="27"/>
      <c r="C688" s="28" t="s">
        <v>115</v>
      </c>
    </row>
    <row r="689" spans="1:3" x14ac:dyDescent="0.2">
      <c r="A689" s="27" t="s">
        <v>853</v>
      </c>
      <c r="B689" s="27"/>
      <c r="C689" s="28" t="s">
        <v>115</v>
      </c>
    </row>
    <row r="690" spans="1:3" x14ac:dyDescent="0.2">
      <c r="A690" s="27" t="s">
        <v>854</v>
      </c>
      <c r="B690" s="27"/>
      <c r="C690" s="28" t="s">
        <v>115</v>
      </c>
    </row>
    <row r="691" spans="1:3" x14ac:dyDescent="0.2">
      <c r="A691" s="27" t="s">
        <v>182</v>
      </c>
      <c r="B691" s="27"/>
      <c r="C691" s="28" t="s">
        <v>115</v>
      </c>
    </row>
    <row r="692" spans="1:3" x14ac:dyDescent="0.2">
      <c r="A692" s="27" t="s">
        <v>855</v>
      </c>
      <c r="B692" s="27"/>
      <c r="C692" s="28" t="s">
        <v>115</v>
      </c>
    </row>
    <row r="693" spans="1:3" x14ac:dyDescent="0.2">
      <c r="A693" s="27" t="s">
        <v>856</v>
      </c>
      <c r="B693" s="27"/>
      <c r="C693" s="28" t="s">
        <v>115</v>
      </c>
    </row>
    <row r="694" spans="1:3" x14ac:dyDescent="0.2">
      <c r="A694" s="27" t="s">
        <v>857</v>
      </c>
      <c r="B694" s="27"/>
      <c r="C694" s="28" t="s">
        <v>115</v>
      </c>
    </row>
    <row r="695" spans="1:3" x14ac:dyDescent="0.2">
      <c r="A695" s="27" t="s">
        <v>858</v>
      </c>
      <c r="B695" s="27"/>
      <c r="C695" s="28" t="s">
        <v>115</v>
      </c>
    </row>
    <row r="696" spans="1:3" x14ac:dyDescent="0.2">
      <c r="A696" s="27" t="s">
        <v>859</v>
      </c>
      <c r="B696" s="27"/>
      <c r="C696" s="28" t="s">
        <v>111</v>
      </c>
    </row>
    <row r="697" spans="1:3" x14ac:dyDescent="0.2">
      <c r="A697" s="27" t="s">
        <v>860</v>
      </c>
      <c r="B697" s="27"/>
      <c r="C697" s="28" t="s">
        <v>111</v>
      </c>
    </row>
    <row r="698" spans="1:3" x14ac:dyDescent="0.2">
      <c r="A698" s="27" t="s">
        <v>861</v>
      </c>
      <c r="B698" s="27"/>
      <c r="C698" s="28" t="s">
        <v>111</v>
      </c>
    </row>
    <row r="699" spans="1:3" x14ac:dyDescent="0.2">
      <c r="A699" s="27" t="s">
        <v>862</v>
      </c>
      <c r="B699" s="27"/>
      <c r="C699" s="28" t="s">
        <v>111</v>
      </c>
    </row>
    <row r="700" spans="1:3" x14ac:dyDescent="0.2">
      <c r="A700" s="27" t="s">
        <v>863</v>
      </c>
      <c r="B700" s="27"/>
      <c r="C700" s="28" t="s">
        <v>111</v>
      </c>
    </row>
    <row r="701" spans="1:3" x14ac:dyDescent="0.2">
      <c r="A701" s="27" t="s">
        <v>864</v>
      </c>
      <c r="B701" s="27"/>
      <c r="C701" s="28" t="s">
        <v>111</v>
      </c>
    </row>
    <row r="702" spans="1:3" x14ac:dyDescent="0.2">
      <c r="A702" s="27" t="s">
        <v>865</v>
      </c>
      <c r="B702" s="27"/>
      <c r="C702" s="28" t="s">
        <v>111</v>
      </c>
    </row>
    <row r="703" spans="1:3" x14ac:dyDescent="0.2">
      <c r="A703" s="27" t="s">
        <v>866</v>
      </c>
      <c r="B703" s="27"/>
      <c r="C703" s="28" t="s">
        <v>111</v>
      </c>
    </row>
    <row r="704" spans="1:3" x14ac:dyDescent="0.2">
      <c r="A704" s="27" t="s">
        <v>867</v>
      </c>
      <c r="B704" s="27"/>
      <c r="C704" s="28" t="s">
        <v>111</v>
      </c>
    </row>
    <row r="705" spans="1:3" x14ac:dyDescent="0.2">
      <c r="A705" s="27" t="s">
        <v>868</v>
      </c>
      <c r="B705" s="27" t="s">
        <v>207</v>
      </c>
      <c r="C705" s="28" t="s">
        <v>111</v>
      </c>
    </row>
    <row r="706" spans="1:3" x14ac:dyDescent="0.2">
      <c r="A706" s="27" t="s">
        <v>869</v>
      </c>
      <c r="B706" s="27" t="s">
        <v>207</v>
      </c>
      <c r="C706" s="28" t="s">
        <v>111</v>
      </c>
    </row>
    <row r="707" spans="1:3" x14ac:dyDescent="0.2">
      <c r="A707" s="27" t="s">
        <v>870</v>
      </c>
      <c r="B707" s="27"/>
      <c r="C707" s="28" t="s">
        <v>111</v>
      </c>
    </row>
    <row r="708" spans="1:3" x14ac:dyDescent="0.2">
      <c r="A708" s="27" t="s">
        <v>871</v>
      </c>
      <c r="B708" s="27"/>
      <c r="C708" s="28" t="s">
        <v>112</v>
      </c>
    </row>
    <row r="709" spans="1:3" x14ac:dyDescent="0.2">
      <c r="A709" s="27" t="s">
        <v>872</v>
      </c>
      <c r="B709" s="27"/>
      <c r="C709" s="28" t="s">
        <v>112</v>
      </c>
    </row>
    <row r="710" spans="1:3" x14ac:dyDescent="0.2">
      <c r="A710" s="27" t="s">
        <v>873</v>
      </c>
      <c r="B710" s="27"/>
      <c r="C710" s="28" t="s">
        <v>112</v>
      </c>
    </row>
    <row r="711" spans="1:3" x14ac:dyDescent="0.2">
      <c r="A711" s="27" t="s">
        <v>874</v>
      </c>
      <c r="B711" s="27"/>
      <c r="C711" s="28" t="s">
        <v>112</v>
      </c>
    </row>
    <row r="712" spans="1:3" x14ac:dyDescent="0.2">
      <c r="A712" s="27" t="s">
        <v>875</v>
      </c>
      <c r="B712" s="27"/>
      <c r="C712" s="28" t="s">
        <v>112</v>
      </c>
    </row>
    <row r="713" spans="1:3" x14ac:dyDescent="0.2">
      <c r="A713" s="27" t="s">
        <v>876</v>
      </c>
      <c r="B713" s="27"/>
      <c r="C713" s="28" t="s">
        <v>112</v>
      </c>
    </row>
    <row r="714" spans="1:3" x14ac:dyDescent="0.2">
      <c r="A714" s="27" t="s">
        <v>877</v>
      </c>
      <c r="B714" s="27"/>
      <c r="C714" s="28" t="s">
        <v>112</v>
      </c>
    </row>
    <row r="715" spans="1:3" x14ac:dyDescent="0.2">
      <c r="A715" s="27" t="s">
        <v>878</v>
      </c>
      <c r="B715" s="27"/>
      <c r="C715" s="28" t="s">
        <v>112</v>
      </c>
    </row>
    <row r="716" spans="1:3" x14ac:dyDescent="0.2">
      <c r="A716" s="27" t="s">
        <v>879</v>
      </c>
      <c r="B716" s="27"/>
      <c r="C716" s="28" t="s">
        <v>112</v>
      </c>
    </row>
  </sheetData>
  <sortState xmlns:xlrd2="http://schemas.microsoft.com/office/spreadsheetml/2017/richdata2" ref="A655:A660">
    <sortCondition ref="A655"/>
  </sortState>
  <mergeCells count="3">
    <mergeCell ref="A1:A3"/>
    <mergeCell ref="B1:B3"/>
    <mergeCell ref="C1:C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POB N08</vt:lpstr>
      <vt:lpstr>DESEMBARQUE EFETIVADO</vt:lpstr>
      <vt:lpstr>EMBARQUE EFETIVADO</vt:lpstr>
      <vt:lpstr>Planejamento</vt:lpstr>
      <vt:lpstr>'POB N08'!Print_Area</vt:lpstr>
      <vt:lpstr>'POB N08'!Print_Titles</vt:lpstr>
      <vt:lpstr>TOTAL.LIFEBOATS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Persons on Board</dc:title>
  <dc:creator>Jaasiel dos Santos</dc:creator>
  <cp:lastModifiedBy>Pedro Alves</cp:lastModifiedBy>
  <cp:lastPrinted>2022-07-25T14:11:22Z</cp:lastPrinted>
  <dcterms:created xsi:type="dcterms:W3CDTF">2014-02-01T17:26:30Z</dcterms:created>
  <dcterms:modified xsi:type="dcterms:W3CDTF">2022-07-31T22:15:08Z</dcterms:modified>
</cp:coreProperties>
</file>